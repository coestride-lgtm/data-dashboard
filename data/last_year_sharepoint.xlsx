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D:\Social Inclusion\Device Distribution Data\"/>
    </mc:Choice>
  </mc:AlternateContent>
  <xr:revisionPtr revIDLastSave="5776" documentId="13_ncr:1_{37BE8E48-711A-4F1C-B438-D77779B69314}" xr6:coauthVersionLast="47" xr6:coauthVersionMax="47" xr10:uidLastSave="{51A77B82-2711-4CAE-B25E-6AD41230FD26}"/>
  <bookViews>
    <workbookView xWindow="-120" yWindow="-120" windowWidth="20730" windowHeight="11040" firstSheet="3" activeTab="3" xr2:uid="{00000000-000D-0000-FFFF-FFFF00000000}"/>
  </bookViews>
  <sheets>
    <sheet name="PIVOT DATA" sheetId="10" r:id="rId1"/>
    <sheet name="376 CONSOLIDATED" sheetId="1" r:id="rId2"/>
    <sheet name="all 50 LPS" sheetId="35" r:id="rId3"/>
    <sheet name="ALL 498 CONSOLIDATED NEW" sheetId="11" r:id="rId4"/>
    <sheet name="device distribution TVM " sheetId="20" r:id="rId5"/>
    <sheet name="device distribution KLM " sheetId="23" r:id="rId6"/>
    <sheet name="device distribution Pkd" sheetId="26" r:id="rId7"/>
    <sheet name="device distribution PTA" sheetId="24" r:id="rId8"/>
    <sheet name="device distribution ALP " sheetId="22" r:id="rId9"/>
    <sheet name="device distribution KTYM" sheetId="30" r:id="rId10"/>
    <sheet name="device distribution IDK" sheetId="31" r:id="rId11"/>
    <sheet name="device distribution EKM" sheetId="29" r:id="rId12"/>
    <sheet name="device distribution TSR" sheetId="32" r:id="rId13"/>
    <sheet name="distribution CLT,WYD,KNR,KZD" sheetId="34" r:id="rId14"/>
    <sheet name="device distribution MLP" sheetId="33" r:id="rId15"/>
    <sheet name="Framework sheet" sheetId="25" r:id="rId16"/>
    <sheet name="Extra stock KDISC" sheetId="27" r:id="rId17"/>
    <sheet name="Extra stock ADARSH" sheetId="28" r:id="rId18"/>
    <sheet name="school district panchayat devic" sheetId="13" r:id="rId19"/>
  </sheets>
  <definedNames>
    <definedName name="_xlnm._FilterDatabase" localSheetId="1" hidden="1">'376 CONSOLIDATED'!$F$376:$F$376</definedName>
    <definedName name="_xlnm._FilterDatabase" localSheetId="3" hidden="1">'ALL 498 CONSOLIDATED NEW'!$A$1:$N$32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35" l="1" a="1"/>
  <c r="S18" i="35" s="1"/>
  <c r="R18" i="35"/>
  <c r="S17" i="35" a="1"/>
  <c r="S17" i="35" s="1"/>
  <c r="R17" i="35"/>
  <c r="S16" i="35" a="1"/>
  <c r="S16" i="35" s="1"/>
  <c r="R16" i="35"/>
  <c r="S15" i="35" a="1"/>
  <c r="S15" i="35" s="1"/>
  <c r="R15" i="35"/>
  <c r="S14" i="35" a="1"/>
  <c r="S14" i="35" s="1"/>
  <c r="R14" i="35"/>
  <c r="S13" i="35" a="1"/>
  <c r="S13" i="35" s="1"/>
  <c r="R13" i="35"/>
  <c r="S12" i="35" a="1"/>
  <c r="S12" i="35" s="1"/>
  <c r="R12" i="35"/>
  <c r="S11" i="35" a="1"/>
  <c r="S11" i="35" s="1"/>
  <c r="R11" i="35"/>
  <c r="S10" i="35" a="1"/>
  <c r="S10" i="35" s="1"/>
  <c r="R10" i="35"/>
  <c r="S9" i="35" a="1"/>
  <c r="S9" i="35" s="1"/>
  <c r="R9" i="35"/>
  <c r="S8" i="35" a="1"/>
  <c r="S8" i="35" s="1"/>
  <c r="R8" i="35"/>
  <c r="S7" i="35" a="1"/>
  <c r="S7" i="35" s="1"/>
  <c r="R7" i="35"/>
  <c r="S6" i="35" a="1"/>
  <c r="S6" i="35" s="1"/>
  <c r="R6" i="35"/>
  <c r="S5" i="35" a="1"/>
  <c r="S5" i="35" s="1"/>
  <c r="S19" i="35" s="1"/>
  <c r="R5" i="35"/>
  <c r="R19" i="35" s="1"/>
  <c r="K22" i="28"/>
  <c r="AH22" i="34"/>
  <c r="AF22" i="34"/>
  <c r="AC22" i="34"/>
  <c r="AA22" i="34"/>
  <c r="X22" i="34"/>
  <c r="V22" i="34"/>
  <c r="S22" i="34"/>
  <c r="Q22" i="34"/>
  <c r="N22" i="34"/>
  <c r="L22" i="34"/>
  <c r="I22" i="34"/>
  <c r="G22" i="34"/>
  <c r="D22" i="34"/>
  <c r="B22" i="34"/>
  <c r="M21" i="34" a="1"/>
  <c r="M21" i="34" s="1"/>
  <c r="O21" i="34" s="1"/>
  <c r="H21" i="34" a="1"/>
  <c r="H21" i="34" s="1"/>
  <c r="J21" i="34" s="1"/>
  <c r="C21" i="34" a="1"/>
  <c r="C21" i="34" s="1"/>
  <c r="E21" i="34" s="1"/>
  <c r="M20" i="34" a="1"/>
  <c r="M20" i="34" s="1"/>
  <c r="O20" i="34" s="1"/>
  <c r="H20" i="34" a="1"/>
  <c r="H20" i="34" s="1"/>
  <c r="J20" i="34" s="1"/>
  <c r="C20" i="34" a="1"/>
  <c r="C20" i="34" s="1"/>
  <c r="E20" i="34" s="1"/>
  <c r="M19" i="34" a="1"/>
  <c r="M19" i="34" s="1"/>
  <c r="O19" i="34" s="1"/>
  <c r="H19" i="34" a="1"/>
  <c r="H19" i="34" s="1"/>
  <c r="J19" i="34" s="1"/>
  <c r="C19" i="34" a="1"/>
  <c r="C19" i="34" s="1"/>
  <c r="E19" i="34" s="1"/>
  <c r="M18" i="34" a="1"/>
  <c r="M18" i="34" s="1"/>
  <c r="O18" i="34" s="1"/>
  <c r="H18" i="34" a="1"/>
  <c r="H18" i="34" s="1"/>
  <c r="J18" i="34" s="1"/>
  <c r="C18" i="34" a="1"/>
  <c r="C18" i="34" s="1"/>
  <c r="E18" i="34" s="1"/>
  <c r="M17" i="34" a="1"/>
  <c r="M17" i="34" s="1"/>
  <c r="O17" i="34" s="1"/>
  <c r="H17" i="34" a="1"/>
  <c r="H17" i="34" s="1"/>
  <c r="J17" i="34" s="1"/>
  <c r="C17" i="34" a="1"/>
  <c r="C17" i="34" s="1"/>
  <c r="E17" i="34" s="1"/>
  <c r="M16" i="34" a="1"/>
  <c r="M16" i="34" s="1"/>
  <c r="O16" i="34" s="1"/>
  <c r="H16" i="34" a="1"/>
  <c r="H16" i="34" s="1"/>
  <c r="J16" i="34" s="1"/>
  <c r="C16" i="34" a="1"/>
  <c r="C16" i="34" s="1"/>
  <c r="E16" i="34" s="1"/>
  <c r="M15" i="34" a="1"/>
  <c r="M15" i="34" s="1"/>
  <c r="O15" i="34" s="1"/>
  <c r="H15" i="34" a="1"/>
  <c r="H15" i="34" s="1"/>
  <c r="J15" i="34" s="1"/>
  <c r="C15" i="34" a="1"/>
  <c r="C15" i="34" s="1"/>
  <c r="E15" i="34" s="1"/>
  <c r="M14" i="34" a="1"/>
  <c r="M14" i="34" s="1"/>
  <c r="O14" i="34" s="1"/>
  <c r="H14" i="34" a="1"/>
  <c r="H14" i="34" s="1"/>
  <c r="J14" i="34" s="1"/>
  <c r="C14" i="34" a="1"/>
  <c r="C14" i="34" s="1"/>
  <c r="E14" i="34" s="1"/>
  <c r="M13" i="34" a="1"/>
  <c r="M13" i="34" s="1"/>
  <c r="O13" i="34" s="1"/>
  <c r="H13" i="34" a="1"/>
  <c r="H13" i="34" s="1"/>
  <c r="J13" i="34" s="1"/>
  <c r="C13" i="34" a="1"/>
  <c r="C13" i="34" s="1"/>
  <c r="E13" i="34" s="1"/>
  <c r="M12" i="34" a="1"/>
  <c r="M12" i="34" s="1"/>
  <c r="O12" i="34" s="1"/>
  <c r="H12" i="34" a="1"/>
  <c r="H12" i="34" s="1"/>
  <c r="J12" i="34" s="1"/>
  <c r="C12" i="34" a="1"/>
  <c r="C12" i="34" s="1"/>
  <c r="E12" i="34" s="1"/>
  <c r="M11" i="34" a="1"/>
  <c r="M11" i="34" s="1"/>
  <c r="O11" i="34" s="1"/>
  <c r="H11" i="34" a="1"/>
  <c r="H11" i="34" s="1"/>
  <c r="J11" i="34" s="1"/>
  <c r="C11" i="34" a="1"/>
  <c r="C11" i="34" s="1"/>
  <c r="E11" i="34" s="1"/>
  <c r="M10" i="34" a="1"/>
  <c r="M10" i="34" s="1"/>
  <c r="O10" i="34" s="1"/>
  <c r="H10" i="34" a="1"/>
  <c r="H10" i="34" s="1"/>
  <c r="J10" i="34" s="1"/>
  <c r="C10" i="34" a="1"/>
  <c r="C10" i="34" s="1"/>
  <c r="E10" i="34" s="1"/>
  <c r="M9" i="34" a="1"/>
  <c r="M9" i="34" s="1"/>
  <c r="O9" i="34" s="1"/>
  <c r="H9" i="34" a="1"/>
  <c r="H9" i="34" s="1"/>
  <c r="J9" i="34" s="1"/>
  <c r="C9" i="34" a="1"/>
  <c r="C9" i="34" s="1"/>
  <c r="E9" i="34" s="1"/>
  <c r="M8" i="34" a="1"/>
  <c r="M8" i="34" s="1"/>
  <c r="O8" i="34" s="1"/>
  <c r="H8" i="34" a="1"/>
  <c r="H8" i="34" s="1"/>
  <c r="J8" i="34" s="1"/>
  <c r="C8" i="34" a="1"/>
  <c r="C8" i="34" s="1"/>
  <c r="E8" i="34" s="1"/>
  <c r="M7" i="34" a="1"/>
  <c r="M7" i="34" s="1"/>
  <c r="O7" i="34" s="1"/>
  <c r="H7" i="34" a="1"/>
  <c r="H7" i="34" s="1"/>
  <c r="J7" i="34" s="1"/>
  <c r="C7" i="34" a="1"/>
  <c r="C7" i="34" s="1"/>
  <c r="E7" i="34" s="1"/>
  <c r="M6" i="34" a="1"/>
  <c r="M6" i="34" s="1"/>
  <c r="O6" i="34" s="1"/>
  <c r="H6" i="34" a="1"/>
  <c r="H6" i="34" s="1"/>
  <c r="J6" i="34" s="1"/>
  <c r="C6" i="34" a="1"/>
  <c r="C6" i="34" s="1"/>
  <c r="E6" i="34" s="1"/>
  <c r="M5" i="34" a="1"/>
  <c r="M5" i="34" s="1"/>
  <c r="O5" i="34" s="1"/>
  <c r="H5" i="34" a="1"/>
  <c r="H5" i="34" s="1"/>
  <c r="J5" i="34" s="1"/>
  <c r="C5" i="34" a="1"/>
  <c r="C5" i="34" s="1"/>
  <c r="E5" i="34" s="1"/>
  <c r="M4" i="34" a="1"/>
  <c r="M4" i="34" s="1"/>
  <c r="O4" i="34" s="1"/>
  <c r="H4" i="34" a="1"/>
  <c r="H4" i="34" s="1"/>
  <c r="J4" i="34" s="1"/>
  <c r="C4" i="34" a="1"/>
  <c r="C4" i="34" s="1"/>
  <c r="E4" i="34" s="1"/>
  <c r="R3" i="34" a="1"/>
  <c r="R3" i="34" s="1"/>
  <c r="T3" i="34" s="1"/>
  <c r="M3" i="34" a="1"/>
  <c r="M3" i="34" s="1"/>
  <c r="O3" i="34" s="1"/>
  <c r="H3" i="34" a="1"/>
  <c r="H3" i="34" s="1"/>
  <c r="J3" i="34" s="1"/>
  <c r="C3" i="34" a="1"/>
  <c r="C3" i="34" s="1"/>
  <c r="E3" i="34" s="1"/>
  <c r="AG2" i="34" a="1"/>
  <c r="AG2" i="34" s="1"/>
  <c r="AB2" i="34" a="1"/>
  <c r="AB2" i="34" s="1"/>
  <c r="W2" i="34" a="1"/>
  <c r="W2" i="34" s="1"/>
  <c r="R2" i="34" a="1"/>
  <c r="R2" i="34" s="1"/>
  <c r="M2" i="34" a="1"/>
  <c r="M2" i="34" s="1"/>
  <c r="H2" i="34" a="1"/>
  <c r="H2" i="34" s="1"/>
  <c r="C2" i="34" a="1"/>
  <c r="C2" i="34" s="1"/>
  <c r="AH22" i="33"/>
  <c r="AF22" i="33"/>
  <c r="AC22" i="33"/>
  <c r="AA22" i="33"/>
  <c r="X22" i="33"/>
  <c r="V22" i="33"/>
  <c r="S22" i="33"/>
  <c r="Q22" i="33"/>
  <c r="N22" i="33"/>
  <c r="L22" i="33"/>
  <c r="I22" i="33"/>
  <c r="G22" i="33"/>
  <c r="D22" i="33"/>
  <c r="B22" i="33"/>
  <c r="M21" i="33" a="1"/>
  <c r="M21" i="33" s="1"/>
  <c r="O21" i="33" s="1"/>
  <c r="H21" i="33" a="1"/>
  <c r="H21" i="33" s="1"/>
  <c r="J21" i="33" s="1"/>
  <c r="C21" i="33" a="1"/>
  <c r="C21" i="33" s="1"/>
  <c r="E21" i="33" s="1"/>
  <c r="M20" i="33" a="1"/>
  <c r="M20" i="33" s="1"/>
  <c r="O20" i="33" s="1"/>
  <c r="H20" i="33" a="1"/>
  <c r="H20" i="33" s="1"/>
  <c r="J20" i="33" s="1"/>
  <c r="C20" i="33" a="1"/>
  <c r="C20" i="33" s="1"/>
  <c r="E20" i="33" s="1"/>
  <c r="M19" i="33" a="1"/>
  <c r="M19" i="33" s="1"/>
  <c r="O19" i="33" s="1"/>
  <c r="H19" i="33" a="1"/>
  <c r="H19" i="33" s="1"/>
  <c r="J19" i="33" s="1"/>
  <c r="C19" i="33" a="1"/>
  <c r="C19" i="33" s="1"/>
  <c r="E19" i="33" s="1"/>
  <c r="M18" i="33" a="1"/>
  <c r="M18" i="33" s="1"/>
  <c r="O18" i="33" s="1"/>
  <c r="H18" i="33" a="1"/>
  <c r="H18" i="33" s="1"/>
  <c r="J18" i="33" s="1"/>
  <c r="C18" i="33" a="1"/>
  <c r="C18" i="33" s="1"/>
  <c r="E18" i="33" s="1"/>
  <c r="M17" i="33" a="1"/>
  <c r="M17" i="33" s="1"/>
  <c r="O17" i="33" s="1"/>
  <c r="H17" i="33" a="1"/>
  <c r="H17" i="33" s="1"/>
  <c r="J17" i="33" s="1"/>
  <c r="C17" i="33" a="1"/>
  <c r="C17" i="33" s="1"/>
  <c r="E17" i="33" s="1"/>
  <c r="M16" i="33" a="1"/>
  <c r="M16" i="33" s="1"/>
  <c r="O16" i="33" s="1"/>
  <c r="H16" i="33" a="1"/>
  <c r="H16" i="33" s="1"/>
  <c r="J16" i="33" s="1"/>
  <c r="C16" i="33" a="1"/>
  <c r="C16" i="33" s="1"/>
  <c r="E16" i="33" s="1"/>
  <c r="M15" i="33" a="1"/>
  <c r="M15" i="33" s="1"/>
  <c r="O15" i="33" s="1"/>
  <c r="H15" i="33" a="1"/>
  <c r="H15" i="33" s="1"/>
  <c r="J15" i="33" s="1"/>
  <c r="C15" i="33" a="1"/>
  <c r="C15" i="33" s="1"/>
  <c r="E15" i="33" s="1"/>
  <c r="M14" i="33" a="1"/>
  <c r="M14" i="33" s="1"/>
  <c r="O14" i="33" s="1"/>
  <c r="H14" i="33" a="1"/>
  <c r="H14" i="33" s="1"/>
  <c r="J14" i="33" s="1"/>
  <c r="C14" i="33" a="1"/>
  <c r="C14" i="33" s="1"/>
  <c r="E14" i="33" s="1"/>
  <c r="M13" i="33" a="1"/>
  <c r="M13" i="33" s="1"/>
  <c r="O13" i="33" s="1"/>
  <c r="H13" i="33" a="1"/>
  <c r="H13" i="33" s="1"/>
  <c r="J13" i="33" s="1"/>
  <c r="C13" i="33" a="1"/>
  <c r="C13" i="33" s="1"/>
  <c r="E13" i="33" s="1"/>
  <c r="M12" i="33" a="1"/>
  <c r="M12" i="33" s="1"/>
  <c r="O12" i="33" s="1"/>
  <c r="H12" i="33" a="1"/>
  <c r="H12" i="33" s="1"/>
  <c r="J12" i="33" s="1"/>
  <c r="C12" i="33" a="1"/>
  <c r="C12" i="33" s="1"/>
  <c r="E12" i="33" s="1"/>
  <c r="M11" i="33" a="1"/>
  <c r="M11" i="33" s="1"/>
  <c r="O11" i="33" s="1"/>
  <c r="H11" i="33" a="1"/>
  <c r="H11" i="33" s="1"/>
  <c r="J11" i="33" s="1"/>
  <c r="C11" i="33" a="1"/>
  <c r="C11" i="33" s="1"/>
  <c r="E11" i="33" s="1"/>
  <c r="M10" i="33" a="1"/>
  <c r="M10" i="33" s="1"/>
  <c r="O10" i="33" s="1"/>
  <c r="H10" i="33" a="1"/>
  <c r="H10" i="33" s="1"/>
  <c r="J10" i="33" s="1"/>
  <c r="C10" i="33" a="1"/>
  <c r="C10" i="33" s="1"/>
  <c r="E10" i="33" s="1"/>
  <c r="M9" i="33" a="1"/>
  <c r="M9" i="33" s="1"/>
  <c r="O9" i="33" s="1"/>
  <c r="H9" i="33" a="1"/>
  <c r="H9" i="33" s="1"/>
  <c r="J9" i="33" s="1"/>
  <c r="C9" i="33" a="1"/>
  <c r="C9" i="33" s="1"/>
  <c r="E9" i="33" s="1"/>
  <c r="M8" i="33" a="1"/>
  <c r="M8" i="33" s="1"/>
  <c r="O8" i="33" s="1"/>
  <c r="H8" i="33" a="1"/>
  <c r="H8" i="33" s="1"/>
  <c r="J8" i="33" s="1"/>
  <c r="C8" i="33" a="1"/>
  <c r="C8" i="33" s="1"/>
  <c r="E8" i="33" s="1"/>
  <c r="M7" i="33" a="1"/>
  <c r="M7" i="33" s="1"/>
  <c r="O7" i="33" s="1"/>
  <c r="H7" i="33" a="1"/>
  <c r="H7" i="33" s="1"/>
  <c r="J7" i="33" s="1"/>
  <c r="C7" i="33" a="1"/>
  <c r="C7" i="33" s="1"/>
  <c r="E7" i="33" s="1"/>
  <c r="M6" i="33" a="1"/>
  <c r="M6" i="33" s="1"/>
  <c r="O6" i="33" s="1"/>
  <c r="H6" i="33" a="1"/>
  <c r="H6" i="33" s="1"/>
  <c r="J6" i="33" s="1"/>
  <c r="C6" i="33" a="1"/>
  <c r="C6" i="33" s="1"/>
  <c r="E6" i="33" s="1"/>
  <c r="M5" i="33" a="1"/>
  <c r="M5" i="33" s="1"/>
  <c r="O5" i="33" s="1"/>
  <c r="H5" i="33" a="1"/>
  <c r="H5" i="33" s="1"/>
  <c r="J5" i="33" s="1"/>
  <c r="C5" i="33" a="1"/>
  <c r="C5" i="33" s="1"/>
  <c r="E5" i="33" s="1"/>
  <c r="M4" i="33" a="1"/>
  <c r="M4" i="33" s="1"/>
  <c r="O4" i="33" s="1"/>
  <c r="H4" i="33" a="1"/>
  <c r="H4" i="33" s="1"/>
  <c r="J4" i="33" s="1"/>
  <c r="C4" i="33" a="1"/>
  <c r="C4" i="33" s="1"/>
  <c r="E4" i="33" s="1"/>
  <c r="R3" i="33" a="1"/>
  <c r="R3" i="33" s="1"/>
  <c r="T3" i="33" s="1"/>
  <c r="M3" i="33" a="1"/>
  <c r="M3" i="33" s="1"/>
  <c r="O3" i="33" s="1"/>
  <c r="H3" i="33" a="1"/>
  <c r="H3" i="33" s="1"/>
  <c r="J3" i="33" s="1"/>
  <c r="C3" i="33" a="1"/>
  <c r="C3" i="33" s="1"/>
  <c r="E3" i="33" s="1"/>
  <c r="AG2" i="33" a="1"/>
  <c r="AG2" i="33" s="1"/>
  <c r="AB2" i="33" a="1"/>
  <c r="AB2" i="33" s="1"/>
  <c r="W2" i="33" a="1"/>
  <c r="W2" i="33" s="1"/>
  <c r="R2" i="33" a="1"/>
  <c r="R2" i="33" s="1"/>
  <c r="M2" i="33" a="1"/>
  <c r="M2" i="33" s="1"/>
  <c r="H2" i="33" a="1"/>
  <c r="H2" i="33" s="1"/>
  <c r="C2" i="33" a="1"/>
  <c r="C2" i="33" s="1"/>
  <c r="AH22" i="32"/>
  <c r="AF22" i="32"/>
  <c r="AC22" i="32"/>
  <c r="AA22" i="32"/>
  <c r="X22" i="32"/>
  <c r="V22" i="32"/>
  <c r="S22" i="32"/>
  <c r="Q22" i="32"/>
  <c r="N22" i="32"/>
  <c r="L22" i="32"/>
  <c r="I22" i="32"/>
  <c r="G22" i="32"/>
  <c r="D22" i="32"/>
  <c r="B22" i="32"/>
  <c r="M21" i="32" a="1"/>
  <c r="M21" i="32" s="1"/>
  <c r="O21" i="32" s="1"/>
  <c r="H21" i="32" a="1"/>
  <c r="H21" i="32" s="1"/>
  <c r="J21" i="32" s="1"/>
  <c r="C21" i="32" a="1"/>
  <c r="C21" i="32" s="1"/>
  <c r="E21" i="32" s="1"/>
  <c r="M20" i="32" a="1"/>
  <c r="M20" i="32" s="1"/>
  <c r="O20" i="32" s="1"/>
  <c r="H20" i="32" a="1"/>
  <c r="H20" i="32" s="1"/>
  <c r="J20" i="32" s="1"/>
  <c r="C20" i="32" a="1"/>
  <c r="C20" i="32" s="1"/>
  <c r="E20" i="32" s="1"/>
  <c r="M19" i="32" a="1"/>
  <c r="M19" i="32" s="1"/>
  <c r="O19" i="32" s="1"/>
  <c r="H19" i="32" a="1"/>
  <c r="H19" i="32" s="1"/>
  <c r="J19" i="32" s="1"/>
  <c r="C19" i="32" a="1"/>
  <c r="C19" i="32" s="1"/>
  <c r="E19" i="32" s="1"/>
  <c r="M18" i="32" a="1"/>
  <c r="M18" i="32" s="1"/>
  <c r="O18" i="32" s="1"/>
  <c r="H18" i="32" a="1"/>
  <c r="H18" i="32" s="1"/>
  <c r="J18" i="32" s="1"/>
  <c r="C18" i="32" a="1"/>
  <c r="C18" i="32" s="1"/>
  <c r="E18" i="32" s="1"/>
  <c r="M17" i="32" a="1"/>
  <c r="M17" i="32" s="1"/>
  <c r="O17" i="32" s="1"/>
  <c r="H17" i="32" a="1"/>
  <c r="H17" i="32" s="1"/>
  <c r="J17" i="32" s="1"/>
  <c r="C17" i="32" a="1"/>
  <c r="C17" i="32" s="1"/>
  <c r="E17" i="32" s="1"/>
  <c r="M16" i="32" a="1"/>
  <c r="M16" i="32" s="1"/>
  <c r="O16" i="32" s="1"/>
  <c r="H16" i="32" a="1"/>
  <c r="H16" i="32" s="1"/>
  <c r="J16" i="32" s="1"/>
  <c r="C16" i="32" a="1"/>
  <c r="C16" i="32" s="1"/>
  <c r="E16" i="32" s="1"/>
  <c r="M15" i="32" a="1"/>
  <c r="M15" i="32" s="1"/>
  <c r="O15" i="32" s="1"/>
  <c r="H15" i="32" a="1"/>
  <c r="H15" i="32" s="1"/>
  <c r="J15" i="32" s="1"/>
  <c r="C15" i="32" a="1"/>
  <c r="C15" i="32" s="1"/>
  <c r="E15" i="32" s="1"/>
  <c r="M14" i="32" a="1"/>
  <c r="M14" i="32" s="1"/>
  <c r="O14" i="32" s="1"/>
  <c r="H14" i="32" a="1"/>
  <c r="H14" i="32" s="1"/>
  <c r="J14" i="32" s="1"/>
  <c r="C14" i="32" a="1"/>
  <c r="C14" i="32" s="1"/>
  <c r="E14" i="32" s="1"/>
  <c r="M13" i="32" a="1"/>
  <c r="M13" i="32" s="1"/>
  <c r="O13" i="32" s="1"/>
  <c r="H13" i="32" a="1"/>
  <c r="H13" i="32" s="1"/>
  <c r="J13" i="32" s="1"/>
  <c r="C13" i="32" a="1"/>
  <c r="C13" i="32" s="1"/>
  <c r="E13" i="32" s="1"/>
  <c r="M12" i="32" a="1"/>
  <c r="M12" i="32" s="1"/>
  <c r="O12" i="32" s="1"/>
  <c r="H12" i="32" a="1"/>
  <c r="H12" i="32" s="1"/>
  <c r="J12" i="32" s="1"/>
  <c r="C12" i="32" a="1"/>
  <c r="C12" i="32" s="1"/>
  <c r="E12" i="32" s="1"/>
  <c r="M11" i="32" a="1"/>
  <c r="M11" i="32" s="1"/>
  <c r="O11" i="32" s="1"/>
  <c r="H11" i="32" a="1"/>
  <c r="H11" i="32" s="1"/>
  <c r="J11" i="32" s="1"/>
  <c r="C11" i="32" a="1"/>
  <c r="C11" i="32" s="1"/>
  <c r="E11" i="32" s="1"/>
  <c r="M10" i="32" a="1"/>
  <c r="M10" i="32" s="1"/>
  <c r="O10" i="32" s="1"/>
  <c r="H10" i="32" a="1"/>
  <c r="H10" i="32" s="1"/>
  <c r="J10" i="32" s="1"/>
  <c r="C10" i="32" a="1"/>
  <c r="C10" i="32" s="1"/>
  <c r="E10" i="32" s="1"/>
  <c r="M9" i="32" a="1"/>
  <c r="M9" i="32" s="1"/>
  <c r="O9" i="32" s="1"/>
  <c r="H9" i="32" a="1"/>
  <c r="H9" i="32" s="1"/>
  <c r="J9" i="32" s="1"/>
  <c r="C9" i="32" a="1"/>
  <c r="C9" i="32" s="1"/>
  <c r="E9" i="32" s="1"/>
  <c r="M8" i="32" a="1"/>
  <c r="M8" i="32" s="1"/>
  <c r="O8" i="32" s="1"/>
  <c r="H8" i="32" a="1"/>
  <c r="H8" i="32" s="1"/>
  <c r="J8" i="32" s="1"/>
  <c r="C8" i="32" a="1"/>
  <c r="C8" i="32" s="1"/>
  <c r="E8" i="32" s="1"/>
  <c r="M7" i="32" a="1"/>
  <c r="M7" i="32" s="1"/>
  <c r="O7" i="32" s="1"/>
  <c r="H7" i="32" a="1"/>
  <c r="H7" i="32" s="1"/>
  <c r="J7" i="32" s="1"/>
  <c r="C7" i="32" a="1"/>
  <c r="C7" i="32" s="1"/>
  <c r="E7" i="32" s="1"/>
  <c r="M6" i="32" a="1"/>
  <c r="M6" i="32" s="1"/>
  <c r="O6" i="32" s="1"/>
  <c r="H6" i="32" a="1"/>
  <c r="H6" i="32" s="1"/>
  <c r="J6" i="32" s="1"/>
  <c r="C6" i="32" a="1"/>
  <c r="C6" i="32" s="1"/>
  <c r="E6" i="32" s="1"/>
  <c r="M5" i="32" a="1"/>
  <c r="M5" i="32" s="1"/>
  <c r="O5" i="32" s="1"/>
  <c r="H5" i="32" a="1"/>
  <c r="H5" i="32" s="1"/>
  <c r="J5" i="32" s="1"/>
  <c r="C5" i="32" a="1"/>
  <c r="C5" i="32" s="1"/>
  <c r="E5" i="32" s="1"/>
  <c r="M4" i="32" a="1"/>
  <c r="M4" i="32" s="1"/>
  <c r="O4" i="32" s="1"/>
  <c r="H4" i="32" a="1"/>
  <c r="H4" i="32" s="1"/>
  <c r="J4" i="32" s="1"/>
  <c r="C4" i="32" a="1"/>
  <c r="C4" i="32" s="1"/>
  <c r="E4" i="32" s="1"/>
  <c r="R3" i="32" a="1"/>
  <c r="R3" i="32" s="1"/>
  <c r="T3" i="32" s="1"/>
  <c r="M3" i="32" a="1"/>
  <c r="M3" i="32" s="1"/>
  <c r="O3" i="32" s="1"/>
  <c r="H3" i="32" a="1"/>
  <c r="H3" i="32" s="1"/>
  <c r="J3" i="32" s="1"/>
  <c r="C3" i="32" a="1"/>
  <c r="C3" i="32" s="1"/>
  <c r="E3" i="32" s="1"/>
  <c r="AG2" i="32" a="1"/>
  <c r="AG2" i="32" s="1"/>
  <c r="AB2" i="32" a="1"/>
  <c r="AB2" i="32" s="1"/>
  <c r="W2" i="32" a="1"/>
  <c r="W2" i="32" s="1"/>
  <c r="R2" i="32" a="1"/>
  <c r="R2" i="32" s="1"/>
  <c r="M2" i="32" a="1"/>
  <c r="M2" i="32" s="1"/>
  <c r="H2" i="32" a="1"/>
  <c r="H2" i="32" s="1"/>
  <c r="C2" i="32" a="1"/>
  <c r="C2" i="32" s="1"/>
  <c r="AH22" i="31"/>
  <c r="AF22" i="31"/>
  <c r="AC22" i="31"/>
  <c r="AA22" i="31"/>
  <c r="X22" i="31"/>
  <c r="V22" i="31"/>
  <c r="S22" i="31"/>
  <c r="Q22" i="31"/>
  <c r="N22" i="31"/>
  <c r="L22" i="31"/>
  <c r="I22" i="31"/>
  <c r="G22" i="31"/>
  <c r="D22" i="31"/>
  <c r="B22" i="31"/>
  <c r="M21" i="31" a="1"/>
  <c r="M21" i="31" s="1"/>
  <c r="O21" i="31" s="1"/>
  <c r="H21" i="31" a="1"/>
  <c r="H21" i="31" s="1"/>
  <c r="J21" i="31" s="1"/>
  <c r="C21" i="31" a="1"/>
  <c r="C21" i="31" s="1"/>
  <c r="E21" i="31" s="1"/>
  <c r="M20" i="31" a="1"/>
  <c r="M20" i="31" s="1"/>
  <c r="O20" i="31" s="1"/>
  <c r="H20" i="31" a="1"/>
  <c r="H20" i="31" s="1"/>
  <c r="J20" i="31" s="1"/>
  <c r="C20" i="31" a="1"/>
  <c r="C20" i="31" s="1"/>
  <c r="E20" i="31" s="1"/>
  <c r="M19" i="31" a="1"/>
  <c r="M19" i="31" s="1"/>
  <c r="O19" i="31" s="1"/>
  <c r="H19" i="31" a="1"/>
  <c r="H19" i="31" s="1"/>
  <c r="J19" i="31" s="1"/>
  <c r="C19" i="31" a="1"/>
  <c r="C19" i="31" s="1"/>
  <c r="E19" i="31" s="1"/>
  <c r="M18" i="31" a="1"/>
  <c r="M18" i="31" s="1"/>
  <c r="O18" i="31" s="1"/>
  <c r="H18" i="31" a="1"/>
  <c r="H18" i="31" s="1"/>
  <c r="J18" i="31" s="1"/>
  <c r="C18" i="31" a="1"/>
  <c r="C18" i="31" s="1"/>
  <c r="E18" i="31" s="1"/>
  <c r="M17" i="31" a="1"/>
  <c r="M17" i="31" s="1"/>
  <c r="O17" i="31" s="1"/>
  <c r="H17" i="31" a="1"/>
  <c r="H17" i="31" s="1"/>
  <c r="J17" i="31" s="1"/>
  <c r="C17" i="31" a="1"/>
  <c r="C17" i="31" s="1"/>
  <c r="E17" i="31" s="1"/>
  <c r="M16" i="31" a="1"/>
  <c r="M16" i="31" s="1"/>
  <c r="O16" i="31" s="1"/>
  <c r="H16" i="31" a="1"/>
  <c r="H16" i="31" s="1"/>
  <c r="J16" i="31" s="1"/>
  <c r="C16" i="31" a="1"/>
  <c r="C16" i="31" s="1"/>
  <c r="E16" i="31" s="1"/>
  <c r="M15" i="31" a="1"/>
  <c r="M15" i="31" s="1"/>
  <c r="O15" i="31" s="1"/>
  <c r="H15" i="31" a="1"/>
  <c r="H15" i="31" s="1"/>
  <c r="J15" i="31" s="1"/>
  <c r="C15" i="31" a="1"/>
  <c r="C15" i="31" s="1"/>
  <c r="E15" i="31" s="1"/>
  <c r="M14" i="31" a="1"/>
  <c r="M14" i="31" s="1"/>
  <c r="O14" i="31" s="1"/>
  <c r="H14" i="31" a="1"/>
  <c r="H14" i="31" s="1"/>
  <c r="J14" i="31" s="1"/>
  <c r="C14" i="31" a="1"/>
  <c r="C14" i="31" s="1"/>
  <c r="E14" i="31" s="1"/>
  <c r="M13" i="31" a="1"/>
  <c r="M13" i="31" s="1"/>
  <c r="O13" i="31" s="1"/>
  <c r="H13" i="31" a="1"/>
  <c r="H13" i="31" s="1"/>
  <c r="J13" i="31" s="1"/>
  <c r="C13" i="31" a="1"/>
  <c r="C13" i="31" s="1"/>
  <c r="E13" i="31" s="1"/>
  <c r="M12" i="31" a="1"/>
  <c r="M12" i="31" s="1"/>
  <c r="O12" i="31" s="1"/>
  <c r="H12" i="31" a="1"/>
  <c r="H12" i="31" s="1"/>
  <c r="J12" i="31" s="1"/>
  <c r="C12" i="31" a="1"/>
  <c r="C12" i="31" s="1"/>
  <c r="E12" i="31" s="1"/>
  <c r="M11" i="31" a="1"/>
  <c r="M11" i="31" s="1"/>
  <c r="O11" i="31" s="1"/>
  <c r="H11" i="31" a="1"/>
  <c r="H11" i="31" s="1"/>
  <c r="J11" i="31" s="1"/>
  <c r="C11" i="31" a="1"/>
  <c r="C11" i="31" s="1"/>
  <c r="E11" i="31" s="1"/>
  <c r="M10" i="31" a="1"/>
  <c r="M10" i="31" s="1"/>
  <c r="O10" i="31" s="1"/>
  <c r="H10" i="31" a="1"/>
  <c r="H10" i="31" s="1"/>
  <c r="J10" i="31" s="1"/>
  <c r="C10" i="31" a="1"/>
  <c r="C10" i="31" s="1"/>
  <c r="E10" i="31" s="1"/>
  <c r="M9" i="31" a="1"/>
  <c r="M9" i="31" s="1"/>
  <c r="O9" i="31" s="1"/>
  <c r="H9" i="31" a="1"/>
  <c r="H9" i="31" s="1"/>
  <c r="J9" i="31" s="1"/>
  <c r="C9" i="31" a="1"/>
  <c r="C9" i="31" s="1"/>
  <c r="E9" i="31" s="1"/>
  <c r="M8" i="31" a="1"/>
  <c r="M8" i="31" s="1"/>
  <c r="O8" i="31" s="1"/>
  <c r="H8" i="31" a="1"/>
  <c r="H8" i="31" s="1"/>
  <c r="J8" i="31" s="1"/>
  <c r="C8" i="31" a="1"/>
  <c r="C8" i="31" s="1"/>
  <c r="E8" i="31" s="1"/>
  <c r="M7" i="31" a="1"/>
  <c r="M7" i="31" s="1"/>
  <c r="O7" i="31" s="1"/>
  <c r="H7" i="31" a="1"/>
  <c r="H7" i="31" s="1"/>
  <c r="J7" i="31" s="1"/>
  <c r="C7" i="31" a="1"/>
  <c r="C7" i="31" s="1"/>
  <c r="E7" i="31" s="1"/>
  <c r="M6" i="31" a="1"/>
  <c r="M6" i="31" s="1"/>
  <c r="O6" i="31" s="1"/>
  <c r="H6" i="31" a="1"/>
  <c r="H6" i="31" s="1"/>
  <c r="J6" i="31" s="1"/>
  <c r="C6" i="31" a="1"/>
  <c r="C6" i="31" s="1"/>
  <c r="E6" i="31" s="1"/>
  <c r="M5" i="31" a="1"/>
  <c r="M5" i="31" s="1"/>
  <c r="O5" i="31" s="1"/>
  <c r="H5" i="31" a="1"/>
  <c r="H5" i="31" s="1"/>
  <c r="J5" i="31" s="1"/>
  <c r="C5" i="31" a="1"/>
  <c r="C5" i="31" s="1"/>
  <c r="E5" i="31" s="1"/>
  <c r="M4" i="31" a="1"/>
  <c r="M4" i="31" s="1"/>
  <c r="O4" i="31" s="1"/>
  <c r="H4" i="31" a="1"/>
  <c r="H4" i="31" s="1"/>
  <c r="J4" i="31" s="1"/>
  <c r="C4" i="31" a="1"/>
  <c r="C4" i="31" s="1"/>
  <c r="E4" i="31" s="1"/>
  <c r="R3" i="31" a="1"/>
  <c r="R3" i="31" s="1"/>
  <c r="T3" i="31" s="1"/>
  <c r="M3" i="31" a="1"/>
  <c r="M3" i="31" s="1"/>
  <c r="O3" i="31" s="1"/>
  <c r="H3" i="31" a="1"/>
  <c r="H3" i="31" s="1"/>
  <c r="J3" i="31" s="1"/>
  <c r="C3" i="31" a="1"/>
  <c r="C3" i="31" s="1"/>
  <c r="E3" i="31" s="1"/>
  <c r="AG2" i="31" a="1"/>
  <c r="AG2" i="31" s="1"/>
  <c r="AB2" i="31" a="1"/>
  <c r="AB2" i="31" s="1"/>
  <c r="W2" i="31" a="1"/>
  <c r="W2" i="31" s="1"/>
  <c r="R2" i="31" a="1"/>
  <c r="R2" i="31" s="1"/>
  <c r="M2" i="31" a="1"/>
  <c r="M2" i="31" s="1"/>
  <c r="H2" i="31" a="1"/>
  <c r="H2" i="31" s="1"/>
  <c r="C2" i="31" a="1"/>
  <c r="C2" i="31" s="1"/>
  <c r="AH22" i="30"/>
  <c r="AF22" i="30"/>
  <c r="AC22" i="30"/>
  <c r="AA22" i="30"/>
  <c r="X22" i="30"/>
  <c r="V22" i="30"/>
  <c r="S22" i="30"/>
  <c r="Q22" i="30"/>
  <c r="N22" i="30"/>
  <c r="L22" i="30"/>
  <c r="I22" i="30"/>
  <c r="G22" i="30"/>
  <c r="D22" i="30"/>
  <c r="B22" i="30"/>
  <c r="M21" i="30" a="1"/>
  <c r="M21" i="30" s="1"/>
  <c r="O21" i="30" s="1"/>
  <c r="H21" i="30" a="1"/>
  <c r="H21" i="30" s="1"/>
  <c r="J21" i="30" s="1"/>
  <c r="C21" i="30" a="1"/>
  <c r="C21" i="30" s="1"/>
  <c r="E21" i="30" s="1"/>
  <c r="M20" i="30" a="1"/>
  <c r="M20" i="30" s="1"/>
  <c r="O20" i="30" s="1"/>
  <c r="H20" i="30" a="1"/>
  <c r="H20" i="30" s="1"/>
  <c r="J20" i="30" s="1"/>
  <c r="C20" i="30" a="1"/>
  <c r="C20" i="30" s="1"/>
  <c r="E20" i="30" s="1"/>
  <c r="M19" i="30" a="1"/>
  <c r="M19" i="30" s="1"/>
  <c r="O19" i="30" s="1"/>
  <c r="H19" i="30" a="1"/>
  <c r="H19" i="30" s="1"/>
  <c r="J19" i="30" s="1"/>
  <c r="C19" i="30" a="1"/>
  <c r="C19" i="30" s="1"/>
  <c r="E19" i="30" s="1"/>
  <c r="M18" i="30" a="1"/>
  <c r="M18" i="30" s="1"/>
  <c r="O18" i="30" s="1"/>
  <c r="H18" i="30" a="1"/>
  <c r="H18" i="30" s="1"/>
  <c r="J18" i="30" s="1"/>
  <c r="C18" i="30" a="1"/>
  <c r="C18" i="30" s="1"/>
  <c r="E18" i="30" s="1"/>
  <c r="M17" i="30" a="1"/>
  <c r="M17" i="30" s="1"/>
  <c r="O17" i="30" s="1"/>
  <c r="H17" i="30" a="1"/>
  <c r="H17" i="30" s="1"/>
  <c r="J17" i="30" s="1"/>
  <c r="C17" i="30" a="1"/>
  <c r="C17" i="30" s="1"/>
  <c r="E17" i="30" s="1"/>
  <c r="M16" i="30" a="1"/>
  <c r="M16" i="30" s="1"/>
  <c r="O16" i="30" s="1"/>
  <c r="H16" i="30" a="1"/>
  <c r="H16" i="30" s="1"/>
  <c r="J16" i="30" s="1"/>
  <c r="C16" i="30" a="1"/>
  <c r="C16" i="30" s="1"/>
  <c r="E16" i="30" s="1"/>
  <c r="M15" i="30" a="1"/>
  <c r="M15" i="30" s="1"/>
  <c r="O15" i="30" s="1"/>
  <c r="H15" i="30" a="1"/>
  <c r="H15" i="30" s="1"/>
  <c r="J15" i="30" s="1"/>
  <c r="C15" i="30" a="1"/>
  <c r="C15" i="30" s="1"/>
  <c r="E15" i="30" s="1"/>
  <c r="M14" i="30" a="1"/>
  <c r="M14" i="30" s="1"/>
  <c r="O14" i="30" s="1"/>
  <c r="H14" i="30" a="1"/>
  <c r="H14" i="30" s="1"/>
  <c r="J14" i="30" s="1"/>
  <c r="C14" i="30" a="1"/>
  <c r="C14" i="30" s="1"/>
  <c r="E14" i="30" s="1"/>
  <c r="M13" i="30" a="1"/>
  <c r="M13" i="30" s="1"/>
  <c r="O13" i="30" s="1"/>
  <c r="H13" i="30" a="1"/>
  <c r="H13" i="30" s="1"/>
  <c r="J13" i="30" s="1"/>
  <c r="C13" i="30" a="1"/>
  <c r="C13" i="30" s="1"/>
  <c r="E13" i="30" s="1"/>
  <c r="M12" i="30" a="1"/>
  <c r="M12" i="30" s="1"/>
  <c r="O12" i="30" s="1"/>
  <c r="H12" i="30" a="1"/>
  <c r="H12" i="30" s="1"/>
  <c r="J12" i="30" s="1"/>
  <c r="C12" i="30" a="1"/>
  <c r="C12" i="30" s="1"/>
  <c r="E12" i="30" s="1"/>
  <c r="M11" i="30" a="1"/>
  <c r="M11" i="30" s="1"/>
  <c r="O11" i="30" s="1"/>
  <c r="H11" i="30" a="1"/>
  <c r="H11" i="30" s="1"/>
  <c r="J11" i="30" s="1"/>
  <c r="C11" i="30" a="1"/>
  <c r="C11" i="30" s="1"/>
  <c r="E11" i="30" s="1"/>
  <c r="M10" i="30" a="1"/>
  <c r="M10" i="30" s="1"/>
  <c r="O10" i="30" s="1"/>
  <c r="H10" i="30" a="1"/>
  <c r="H10" i="30" s="1"/>
  <c r="J10" i="30" s="1"/>
  <c r="C10" i="30" a="1"/>
  <c r="C10" i="30" s="1"/>
  <c r="E10" i="30" s="1"/>
  <c r="M9" i="30" a="1"/>
  <c r="M9" i="30" s="1"/>
  <c r="O9" i="30" s="1"/>
  <c r="H9" i="30" a="1"/>
  <c r="H9" i="30" s="1"/>
  <c r="J9" i="30" s="1"/>
  <c r="C9" i="30" a="1"/>
  <c r="C9" i="30" s="1"/>
  <c r="E9" i="30" s="1"/>
  <c r="M8" i="30" a="1"/>
  <c r="M8" i="30" s="1"/>
  <c r="O8" i="30" s="1"/>
  <c r="H8" i="30" a="1"/>
  <c r="H8" i="30" s="1"/>
  <c r="J8" i="30" s="1"/>
  <c r="C8" i="30" a="1"/>
  <c r="C8" i="30" s="1"/>
  <c r="E8" i="30" s="1"/>
  <c r="M7" i="30" a="1"/>
  <c r="M7" i="30" s="1"/>
  <c r="O7" i="30" s="1"/>
  <c r="H7" i="30" a="1"/>
  <c r="H7" i="30" s="1"/>
  <c r="J7" i="30" s="1"/>
  <c r="C7" i="30" a="1"/>
  <c r="C7" i="30" s="1"/>
  <c r="E7" i="30" s="1"/>
  <c r="M6" i="30" a="1"/>
  <c r="M6" i="30" s="1"/>
  <c r="O6" i="30" s="1"/>
  <c r="H6" i="30" a="1"/>
  <c r="H6" i="30" s="1"/>
  <c r="J6" i="30" s="1"/>
  <c r="C6" i="30" a="1"/>
  <c r="C6" i="30" s="1"/>
  <c r="E6" i="30" s="1"/>
  <c r="M5" i="30" a="1"/>
  <c r="M5" i="30" s="1"/>
  <c r="O5" i="30" s="1"/>
  <c r="H5" i="30" a="1"/>
  <c r="H5" i="30" s="1"/>
  <c r="J5" i="30" s="1"/>
  <c r="C5" i="30" a="1"/>
  <c r="C5" i="30" s="1"/>
  <c r="E5" i="30" s="1"/>
  <c r="M4" i="30" a="1"/>
  <c r="M4" i="30" s="1"/>
  <c r="O4" i="30" s="1"/>
  <c r="H4" i="30" a="1"/>
  <c r="H4" i="30" s="1"/>
  <c r="J4" i="30" s="1"/>
  <c r="C4" i="30" a="1"/>
  <c r="C4" i="30" s="1"/>
  <c r="E4" i="30" s="1"/>
  <c r="R3" i="30" a="1"/>
  <c r="R3" i="30" s="1"/>
  <c r="T3" i="30" s="1"/>
  <c r="M3" i="30" a="1"/>
  <c r="M3" i="30" s="1"/>
  <c r="O3" i="30" s="1"/>
  <c r="H3" i="30" a="1"/>
  <c r="H3" i="30" s="1"/>
  <c r="J3" i="30" s="1"/>
  <c r="C3" i="30" a="1"/>
  <c r="C3" i="30" s="1"/>
  <c r="E3" i="30" s="1"/>
  <c r="AG2" i="30" a="1"/>
  <c r="AG2" i="30" s="1"/>
  <c r="AB2" i="30" a="1"/>
  <c r="AB2" i="30" s="1"/>
  <c r="W2" i="30" a="1"/>
  <c r="W2" i="30" s="1"/>
  <c r="R2" i="30" a="1"/>
  <c r="R2" i="30" s="1"/>
  <c r="M2" i="30" a="1"/>
  <c r="M2" i="30" s="1"/>
  <c r="H2" i="30" a="1"/>
  <c r="H2" i="30" s="1"/>
  <c r="C2" i="30" a="1"/>
  <c r="C2" i="30" s="1"/>
  <c r="AH22" i="29"/>
  <c r="AF22" i="29"/>
  <c r="AC22" i="29"/>
  <c r="AA22" i="29"/>
  <c r="X22" i="29"/>
  <c r="V22" i="29"/>
  <c r="S22" i="29"/>
  <c r="Q22" i="29"/>
  <c r="N22" i="29"/>
  <c r="L22" i="29"/>
  <c r="I22" i="29"/>
  <c r="G22" i="29"/>
  <c r="D22" i="29"/>
  <c r="B22" i="29"/>
  <c r="M21" i="29" a="1"/>
  <c r="M21" i="29" s="1"/>
  <c r="O21" i="29" s="1"/>
  <c r="H21" i="29" a="1"/>
  <c r="H21" i="29" s="1"/>
  <c r="J21" i="29" s="1"/>
  <c r="C21" i="29" a="1"/>
  <c r="C21" i="29" s="1"/>
  <c r="E21" i="29" s="1"/>
  <c r="M20" i="29" a="1"/>
  <c r="M20" i="29" s="1"/>
  <c r="O20" i="29" s="1"/>
  <c r="H20" i="29" a="1"/>
  <c r="H20" i="29" s="1"/>
  <c r="J20" i="29" s="1"/>
  <c r="C20" i="29" a="1"/>
  <c r="C20" i="29" s="1"/>
  <c r="E20" i="29" s="1"/>
  <c r="M19" i="29" a="1"/>
  <c r="M19" i="29" s="1"/>
  <c r="O19" i="29" s="1"/>
  <c r="H19" i="29" a="1"/>
  <c r="H19" i="29" s="1"/>
  <c r="J19" i="29" s="1"/>
  <c r="C19" i="29" a="1"/>
  <c r="C19" i="29" s="1"/>
  <c r="E19" i="29" s="1"/>
  <c r="M18" i="29" a="1"/>
  <c r="M18" i="29" s="1"/>
  <c r="O18" i="29" s="1"/>
  <c r="H18" i="29" a="1"/>
  <c r="H18" i="29" s="1"/>
  <c r="J18" i="29" s="1"/>
  <c r="C18" i="29" a="1"/>
  <c r="C18" i="29" s="1"/>
  <c r="E18" i="29" s="1"/>
  <c r="M17" i="29" a="1"/>
  <c r="M17" i="29" s="1"/>
  <c r="O17" i="29" s="1"/>
  <c r="H17" i="29" a="1"/>
  <c r="H17" i="29" s="1"/>
  <c r="J17" i="29" s="1"/>
  <c r="C17" i="29" a="1"/>
  <c r="C17" i="29" s="1"/>
  <c r="E17" i="29" s="1"/>
  <c r="M16" i="29" a="1"/>
  <c r="M16" i="29" s="1"/>
  <c r="O16" i="29" s="1"/>
  <c r="H16" i="29" a="1"/>
  <c r="H16" i="29" s="1"/>
  <c r="J16" i="29" s="1"/>
  <c r="C16" i="29" a="1"/>
  <c r="C16" i="29" s="1"/>
  <c r="E16" i="29" s="1"/>
  <c r="M15" i="29" a="1"/>
  <c r="M15" i="29" s="1"/>
  <c r="O15" i="29" s="1"/>
  <c r="H15" i="29" a="1"/>
  <c r="H15" i="29" s="1"/>
  <c r="J15" i="29" s="1"/>
  <c r="C15" i="29" a="1"/>
  <c r="C15" i="29" s="1"/>
  <c r="E15" i="29" s="1"/>
  <c r="M14" i="29" a="1"/>
  <c r="M14" i="29" s="1"/>
  <c r="O14" i="29" s="1"/>
  <c r="H14" i="29" a="1"/>
  <c r="H14" i="29" s="1"/>
  <c r="J14" i="29" s="1"/>
  <c r="C14" i="29" a="1"/>
  <c r="C14" i="29" s="1"/>
  <c r="E14" i="29" s="1"/>
  <c r="M13" i="29" a="1"/>
  <c r="M13" i="29" s="1"/>
  <c r="O13" i="29" s="1"/>
  <c r="H13" i="29" a="1"/>
  <c r="H13" i="29" s="1"/>
  <c r="J13" i="29" s="1"/>
  <c r="C13" i="29" a="1"/>
  <c r="C13" i="29" s="1"/>
  <c r="E13" i="29" s="1"/>
  <c r="M12" i="29" a="1"/>
  <c r="M12" i="29" s="1"/>
  <c r="O12" i="29" s="1"/>
  <c r="H12" i="29" a="1"/>
  <c r="H12" i="29" s="1"/>
  <c r="J12" i="29" s="1"/>
  <c r="C12" i="29" a="1"/>
  <c r="C12" i="29" s="1"/>
  <c r="E12" i="29" s="1"/>
  <c r="M11" i="29" a="1"/>
  <c r="M11" i="29" s="1"/>
  <c r="O11" i="29" s="1"/>
  <c r="H11" i="29" a="1"/>
  <c r="H11" i="29" s="1"/>
  <c r="J11" i="29" s="1"/>
  <c r="C11" i="29" a="1"/>
  <c r="C11" i="29" s="1"/>
  <c r="E11" i="29" s="1"/>
  <c r="M10" i="29" a="1"/>
  <c r="M10" i="29" s="1"/>
  <c r="O10" i="29" s="1"/>
  <c r="H10" i="29" a="1"/>
  <c r="H10" i="29" s="1"/>
  <c r="J10" i="29" s="1"/>
  <c r="C10" i="29" a="1"/>
  <c r="C10" i="29" s="1"/>
  <c r="E10" i="29" s="1"/>
  <c r="M9" i="29" a="1"/>
  <c r="M9" i="29" s="1"/>
  <c r="O9" i="29" s="1"/>
  <c r="H9" i="29" a="1"/>
  <c r="H9" i="29" s="1"/>
  <c r="J9" i="29" s="1"/>
  <c r="C9" i="29" a="1"/>
  <c r="C9" i="29" s="1"/>
  <c r="E9" i="29" s="1"/>
  <c r="M8" i="29" a="1"/>
  <c r="M8" i="29" s="1"/>
  <c r="O8" i="29" s="1"/>
  <c r="H8" i="29" a="1"/>
  <c r="H8" i="29" s="1"/>
  <c r="J8" i="29" s="1"/>
  <c r="C8" i="29" a="1"/>
  <c r="C8" i="29" s="1"/>
  <c r="E8" i="29" s="1"/>
  <c r="M7" i="29" a="1"/>
  <c r="M7" i="29" s="1"/>
  <c r="O7" i="29" s="1"/>
  <c r="H7" i="29" a="1"/>
  <c r="H7" i="29" s="1"/>
  <c r="J7" i="29" s="1"/>
  <c r="C7" i="29" a="1"/>
  <c r="C7" i="29" s="1"/>
  <c r="E7" i="29" s="1"/>
  <c r="M6" i="29" a="1"/>
  <c r="M6" i="29" s="1"/>
  <c r="O6" i="29" s="1"/>
  <c r="H6" i="29" a="1"/>
  <c r="H6" i="29" s="1"/>
  <c r="J6" i="29" s="1"/>
  <c r="C6" i="29" a="1"/>
  <c r="C6" i="29" s="1"/>
  <c r="E6" i="29" s="1"/>
  <c r="M5" i="29" a="1"/>
  <c r="M5" i="29" s="1"/>
  <c r="O5" i="29" s="1"/>
  <c r="H5" i="29" a="1"/>
  <c r="H5" i="29" s="1"/>
  <c r="J5" i="29" s="1"/>
  <c r="C5" i="29" a="1"/>
  <c r="C5" i="29" s="1"/>
  <c r="E5" i="29" s="1"/>
  <c r="M4" i="29" a="1"/>
  <c r="M4" i="29" s="1"/>
  <c r="O4" i="29" s="1"/>
  <c r="H4" i="29" a="1"/>
  <c r="H4" i="29" s="1"/>
  <c r="J4" i="29" s="1"/>
  <c r="C4" i="29" a="1"/>
  <c r="C4" i="29" s="1"/>
  <c r="E4" i="29" s="1"/>
  <c r="R3" i="29" a="1"/>
  <c r="R3" i="29" s="1"/>
  <c r="T3" i="29" s="1"/>
  <c r="M3" i="29" a="1"/>
  <c r="M3" i="29" s="1"/>
  <c r="O3" i="29" s="1"/>
  <c r="H3" i="29" a="1"/>
  <c r="H3" i="29" s="1"/>
  <c r="J3" i="29" s="1"/>
  <c r="C3" i="29" a="1"/>
  <c r="C3" i="29" s="1"/>
  <c r="E3" i="29" s="1"/>
  <c r="AG2" i="29" a="1"/>
  <c r="AG2" i="29" s="1"/>
  <c r="AB2" i="29" a="1"/>
  <c r="AB2" i="29" s="1"/>
  <c r="W2" i="29" a="1"/>
  <c r="W2" i="29" s="1"/>
  <c r="R2" i="29" a="1"/>
  <c r="R2" i="29" s="1"/>
  <c r="M2" i="29" a="1"/>
  <c r="M2" i="29" s="1"/>
  <c r="H2" i="29" a="1"/>
  <c r="H2" i="29" s="1"/>
  <c r="C2" i="29" a="1"/>
  <c r="C2" i="29" s="1"/>
  <c r="J22" i="28"/>
  <c r="I22" i="28"/>
  <c r="H22" i="28"/>
  <c r="F22" i="28"/>
  <c r="D22" i="28"/>
  <c r="B22" i="28"/>
  <c r="AO10" i="28"/>
  <c r="AO9" i="28"/>
  <c r="AO8" i="28"/>
  <c r="AO7" i="28"/>
  <c r="AO6" i="28"/>
  <c r="AO5" i="28"/>
  <c r="AO4" i="28"/>
  <c r="J22" i="27"/>
  <c r="I22" i="27"/>
  <c r="H22" i="27"/>
  <c r="F22" i="27"/>
  <c r="D22" i="27"/>
  <c r="B22" i="27"/>
  <c r="K22" i="27" s="1"/>
  <c r="AH22" i="26"/>
  <c r="AF22" i="26"/>
  <c r="AC22" i="26"/>
  <c r="AA22" i="26"/>
  <c r="X22" i="26"/>
  <c r="V22" i="26"/>
  <c r="S22" i="26"/>
  <c r="Q22" i="26"/>
  <c r="N22" i="26"/>
  <c r="L22" i="26"/>
  <c r="I22" i="26"/>
  <c r="G22" i="26"/>
  <c r="D22" i="26"/>
  <c r="B22" i="26"/>
  <c r="M21" i="26" a="1"/>
  <c r="M21" i="26" s="1"/>
  <c r="O21" i="26" s="1"/>
  <c r="H21" i="26" a="1"/>
  <c r="H21" i="26" s="1"/>
  <c r="J21" i="26" s="1"/>
  <c r="C21" i="26" a="1"/>
  <c r="C21" i="26" s="1"/>
  <c r="E21" i="26" s="1"/>
  <c r="M20" i="26" a="1"/>
  <c r="M20" i="26" s="1"/>
  <c r="O20" i="26" s="1"/>
  <c r="H20" i="26" a="1"/>
  <c r="H20" i="26" s="1"/>
  <c r="J20" i="26" s="1"/>
  <c r="C20" i="26" a="1"/>
  <c r="C20" i="26" s="1"/>
  <c r="E20" i="26" s="1"/>
  <c r="M19" i="26" a="1"/>
  <c r="M19" i="26" s="1"/>
  <c r="O19" i="26" s="1"/>
  <c r="H19" i="26" a="1"/>
  <c r="H19" i="26" s="1"/>
  <c r="J19" i="26" s="1"/>
  <c r="C19" i="26" a="1"/>
  <c r="C19" i="26" s="1"/>
  <c r="E19" i="26" s="1"/>
  <c r="M18" i="26" a="1"/>
  <c r="M18" i="26" s="1"/>
  <c r="O18" i="26" s="1"/>
  <c r="H18" i="26" a="1"/>
  <c r="H18" i="26" s="1"/>
  <c r="J18" i="26" s="1"/>
  <c r="C18" i="26" a="1"/>
  <c r="C18" i="26" s="1"/>
  <c r="E18" i="26" s="1"/>
  <c r="M17" i="26" a="1"/>
  <c r="M17" i="26" s="1"/>
  <c r="O17" i="26" s="1"/>
  <c r="H17" i="26" a="1"/>
  <c r="H17" i="26" s="1"/>
  <c r="J17" i="26" s="1"/>
  <c r="C17" i="26" a="1"/>
  <c r="C17" i="26" s="1"/>
  <c r="E17" i="26" s="1"/>
  <c r="M16" i="26" a="1"/>
  <c r="M16" i="26" s="1"/>
  <c r="O16" i="26" s="1"/>
  <c r="H16" i="26" a="1"/>
  <c r="H16" i="26" s="1"/>
  <c r="J16" i="26" s="1"/>
  <c r="C16" i="26" a="1"/>
  <c r="C16" i="26" s="1"/>
  <c r="E16" i="26" s="1"/>
  <c r="M15" i="26" a="1"/>
  <c r="M15" i="26" s="1"/>
  <c r="O15" i="26" s="1"/>
  <c r="H15" i="26" a="1"/>
  <c r="H15" i="26" s="1"/>
  <c r="J15" i="26" s="1"/>
  <c r="C15" i="26" a="1"/>
  <c r="C15" i="26" s="1"/>
  <c r="E15" i="26" s="1"/>
  <c r="M14" i="26" a="1"/>
  <c r="M14" i="26" s="1"/>
  <c r="O14" i="26" s="1"/>
  <c r="H14" i="26" a="1"/>
  <c r="H14" i="26" s="1"/>
  <c r="J14" i="26" s="1"/>
  <c r="C14" i="26" a="1"/>
  <c r="C14" i="26" s="1"/>
  <c r="E14" i="26" s="1"/>
  <c r="M13" i="26" a="1"/>
  <c r="M13" i="26" s="1"/>
  <c r="O13" i="26" s="1"/>
  <c r="H13" i="26" a="1"/>
  <c r="H13" i="26" s="1"/>
  <c r="J13" i="26" s="1"/>
  <c r="C13" i="26" a="1"/>
  <c r="C13" i="26" s="1"/>
  <c r="E13" i="26" s="1"/>
  <c r="M12" i="26" a="1"/>
  <c r="M12" i="26" s="1"/>
  <c r="O12" i="26" s="1"/>
  <c r="H12" i="26" a="1"/>
  <c r="H12" i="26" s="1"/>
  <c r="J12" i="26" s="1"/>
  <c r="C12" i="26" a="1"/>
  <c r="C12" i="26" s="1"/>
  <c r="E12" i="26" s="1"/>
  <c r="M11" i="26" a="1"/>
  <c r="M11" i="26" s="1"/>
  <c r="O11" i="26" s="1"/>
  <c r="H11" i="26" a="1"/>
  <c r="H11" i="26" s="1"/>
  <c r="J11" i="26" s="1"/>
  <c r="C11" i="26" a="1"/>
  <c r="C11" i="26" s="1"/>
  <c r="E11" i="26" s="1"/>
  <c r="M10" i="26" a="1"/>
  <c r="M10" i="26" s="1"/>
  <c r="O10" i="26" s="1"/>
  <c r="H10" i="26" a="1"/>
  <c r="H10" i="26" s="1"/>
  <c r="J10" i="26" s="1"/>
  <c r="C10" i="26" a="1"/>
  <c r="C10" i="26" s="1"/>
  <c r="E10" i="26" s="1"/>
  <c r="M9" i="26" a="1"/>
  <c r="M9" i="26" s="1"/>
  <c r="O9" i="26" s="1"/>
  <c r="H9" i="26" a="1"/>
  <c r="H9" i="26" s="1"/>
  <c r="J9" i="26" s="1"/>
  <c r="C9" i="26" a="1"/>
  <c r="C9" i="26" s="1"/>
  <c r="E9" i="26" s="1"/>
  <c r="M8" i="26" a="1"/>
  <c r="M8" i="26" s="1"/>
  <c r="O8" i="26" s="1"/>
  <c r="H8" i="26" a="1"/>
  <c r="H8" i="26" s="1"/>
  <c r="J8" i="26" s="1"/>
  <c r="C8" i="26" a="1"/>
  <c r="C8" i="26" s="1"/>
  <c r="E8" i="26" s="1"/>
  <c r="M7" i="26" a="1"/>
  <c r="M7" i="26" s="1"/>
  <c r="O7" i="26" s="1"/>
  <c r="H7" i="26" a="1"/>
  <c r="H7" i="26" s="1"/>
  <c r="J7" i="26" s="1"/>
  <c r="C7" i="26" a="1"/>
  <c r="C7" i="26" s="1"/>
  <c r="E7" i="26" s="1"/>
  <c r="M6" i="26" a="1"/>
  <c r="M6" i="26" s="1"/>
  <c r="O6" i="26" s="1"/>
  <c r="H6" i="26" a="1"/>
  <c r="H6" i="26" s="1"/>
  <c r="J6" i="26" s="1"/>
  <c r="C6" i="26" a="1"/>
  <c r="C6" i="26" s="1"/>
  <c r="E6" i="26" s="1"/>
  <c r="M5" i="26" a="1"/>
  <c r="M5" i="26" s="1"/>
  <c r="O5" i="26" s="1"/>
  <c r="H5" i="26" a="1"/>
  <c r="H5" i="26" s="1"/>
  <c r="J5" i="26" s="1"/>
  <c r="C5" i="26" a="1"/>
  <c r="C5" i="26" s="1"/>
  <c r="E5" i="26" s="1"/>
  <c r="M4" i="26" a="1"/>
  <c r="M4" i="26" s="1"/>
  <c r="O4" i="26" s="1"/>
  <c r="H4" i="26" a="1"/>
  <c r="H4" i="26" s="1"/>
  <c r="J4" i="26" s="1"/>
  <c r="C4" i="26" a="1"/>
  <c r="C4" i="26" s="1"/>
  <c r="E4" i="26" s="1"/>
  <c r="R3" i="26" a="1"/>
  <c r="R3" i="26" s="1"/>
  <c r="T3" i="26" s="1"/>
  <c r="M3" i="26" a="1"/>
  <c r="M3" i="26" s="1"/>
  <c r="O3" i="26" s="1"/>
  <c r="H3" i="26" a="1"/>
  <c r="H3" i="26" s="1"/>
  <c r="J3" i="26" s="1"/>
  <c r="C3" i="26" a="1"/>
  <c r="C3" i="26" s="1"/>
  <c r="E3" i="26" s="1"/>
  <c r="AG2" i="26" a="1"/>
  <c r="AG2" i="26" s="1"/>
  <c r="AB2" i="26" a="1"/>
  <c r="AB2" i="26" s="1"/>
  <c r="W2" i="26" a="1"/>
  <c r="W2" i="26" s="1"/>
  <c r="R2" i="26" a="1"/>
  <c r="R2" i="26" s="1"/>
  <c r="M2" i="26" a="1"/>
  <c r="M2" i="26" s="1"/>
  <c r="H2" i="26" a="1"/>
  <c r="H2" i="26" s="1"/>
  <c r="C2" i="26" a="1"/>
  <c r="C2" i="26" s="1"/>
  <c r="AH22" i="25"/>
  <c r="AF22" i="25"/>
  <c r="AC22" i="25"/>
  <c r="AA22" i="25"/>
  <c r="X22" i="25"/>
  <c r="V22" i="25"/>
  <c r="S22" i="25"/>
  <c r="Q22" i="25"/>
  <c r="N22" i="25"/>
  <c r="L22" i="25"/>
  <c r="I22" i="25"/>
  <c r="G22" i="25"/>
  <c r="D22" i="25"/>
  <c r="B22" i="25"/>
  <c r="M21" i="25" a="1"/>
  <c r="M21" i="25" s="1"/>
  <c r="O21" i="25" s="1"/>
  <c r="H21" i="25" a="1"/>
  <c r="H21" i="25" s="1"/>
  <c r="J21" i="25" s="1"/>
  <c r="C21" i="25" a="1"/>
  <c r="C21" i="25" s="1"/>
  <c r="E21" i="25" s="1"/>
  <c r="M20" i="25" a="1"/>
  <c r="M20" i="25" s="1"/>
  <c r="O20" i="25" s="1"/>
  <c r="H20" i="25" a="1"/>
  <c r="H20" i="25" s="1"/>
  <c r="J20" i="25" s="1"/>
  <c r="C20" i="25" a="1"/>
  <c r="C20" i="25" s="1"/>
  <c r="E20" i="25" s="1"/>
  <c r="M19" i="25" a="1"/>
  <c r="M19" i="25" s="1"/>
  <c r="O19" i="25" s="1"/>
  <c r="H19" i="25" a="1"/>
  <c r="H19" i="25" s="1"/>
  <c r="J19" i="25" s="1"/>
  <c r="C19" i="25" a="1"/>
  <c r="C19" i="25" s="1"/>
  <c r="E19" i="25" s="1"/>
  <c r="M18" i="25" a="1"/>
  <c r="M18" i="25" s="1"/>
  <c r="O18" i="25" s="1"/>
  <c r="H18" i="25" a="1"/>
  <c r="H18" i="25" s="1"/>
  <c r="J18" i="25" s="1"/>
  <c r="C18" i="25" a="1"/>
  <c r="C18" i="25" s="1"/>
  <c r="E18" i="25" s="1"/>
  <c r="M17" i="25" a="1"/>
  <c r="M17" i="25" s="1"/>
  <c r="O17" i="25" s="1"/>
  <c r="H17" i="25" a="1"/>
  <c r="H17" i="25" s="1"/>
  <c r="J17" i="25" s="1"/>
  <c r="C17" i="25" a="1"/>
  <c r="C17" i="25" s="1"/>
  <c r="E17" i="25" s="1"/>
  <c r="M16" i="25" a="1"/>
  <c r="M16" i="25" s="1"/>
  <c r="O16" i="25" s="1"/>
  <c r="H16" i="25" a="1"/>
  <c r="H16" i="25" s="1"/>
  <c r="J16" i="25" s="1"/>
  <c r="C16" i="25" a="1"/>
  <c r="C16" i="25" s="1"/>
  <c r="E16" i="25" s="1"/>
  <c r="M15" i="25" a="1"/>
  <c r="M15" i="25" s="1"/>
  <c r="O15" i="25" s="1"/>
  <c r="H15" i="25" a="1"/>
  <c r="H15" i="25" s="1"/>
  <c r="J15" i="25" s="1"/>
  <c r="C15" i="25" a="1"/>
  <c r="C15" i="25" s="1"/>
  <c r="E15" i="25" s="1"/>
  <c r="M14" i="25" a="1"/>
  <c r="M14" i="25" s="1"/>
  <c r="O14" i="25" s="1"/>
  <c r="H14" i="25" a="1"/>
  <c r="H14" i="25" s="1"/>
  <c r="J14" i="25" s="1"/>
  <c r="C14" i="25" a="1"/>
  <c r="C14" i="25" s="1"/>
  <c r="E14" i="25" s="1"/>
  <c r="M13" i="25" a="1"/>
  <c r="M13" i="25" s="1"/>
  <c r="O13" i="25" s="1"/>
  <c r="H13" i="25" a="1"/>
  <c r="H13" i="25" s="1"/>
  <c r="J13" i="25" s="1"/>
  <c r="C13" i="25" a="1"/>
  <c r="C13" i="25" s="1"/>
  <c r="E13" i="25" s="1"/>
  <c r="M12" i="25" a="1"/>
  <c r="M12" i="25" s="1"/>
  <c r="O12" i="25" s="1"/>
  <c r="H12" i="25" a="1"/>
  <c r="H12" i="25" s="1"/>
  <c r="J12" i="25" s="1"/>
  <c r="C12" i="25" a="1"/>
  <c r="C12" i="25" s="1"/>
  <c r="E12" i="25" s="1"/>
  <c r="M11" i="25" a="1"/>
  <c r="M11" i="25" s="1"/>
  <c r="O11" i="25" s="1"/>
  <c r="H11" i="25" a="1"/>
  <c r="H11" i="25" s="1"/>
  <c r="J11" i="25" s="1"/>
  <c r="C11" i="25" a="1"/>
  <c r="C11" i="25" s="1"/>
  <c r="E11" i="25" s="1"/>
  <c r="M10" i="25" a="1"/>
  <c r="M10" i="25" s="1"/>
  <c r="O10" i="25" s="1"/>
  <c r="H10" i="25" a="1"/>
  <c r="H10" i="25" s="1"/>
  <c r="J10" i="25" s="1"/>
  <c r="C10" i="25" a="1"/>
  <c r="C10" i="25" s="1"/>
  <c r="E10" i="25" s="1"/>
  <c r="M9" i="25" a="1"/>
  <c r="M9" i="25" s="1"/>
  <c r="O9" i="25" s="1"/>
  <c r="H9" i="25" a="1"/>
  <c r="H9" i="25" s="1"/>
  <c r="J9" i="25" s="1"/>
  <c r="C9" i="25" a="1"/>
  <c r="C9" i="25" s="1"/>
  <c r="E9" i="25" s="1"/>
  <c r="M8" i="25" a="1"/>
  <c r="M8" i="25" s="1"/>
  <c r="O8" i="25" s="1"/>
  <c r="H8" i="25" a="1"/>
  <c r="H8" i="25" s="1"/>
  <c r="J8" i="25" s="1"/>
  <c r="C8" i="25" a="1"/>
  <c r="C8" i="25" s="1"/>
  <c r="E8" i="25" s="1"/>
  <c r="M7" i="25" a="1"/>
  <c r="M7" i="25" s="1"/>
  <c r="O7" i="25" s="1"/>
  <c r="H7" i="25" a="1"/>
  <c r="H7" i="25" s="1"/>
  <c r="J7" i="25" s="1"/>
  <c r="C7" i="25" a="1"/>
  <c r="C7" i="25" s="1"/>
  <c r="E7" i="25" s="1"/>
  <c r="M6" i="25" a="1"/>
  <c r="M6" i="25" s="1"/>
  <c r="O6" i="25" s="1"/>
  <c r="H6" i="25" a="1"/>
  <c r="H6" i="25" s="1"/>
  <c r="J6" i="25" s="1"/>
  <c r="C6" i="25" a="1"/>
  <c r="C6" i="25" s="1"/>
  <c r="E6" i="25" s="1"/>
  <c r="M5" i="25" a="1"/>
  <c r="M5" i="25" s="1"/>
  <c r="O5" i="25" s="1"/>
  <c r="H5" i="25" a="1"/>
  <c r="H5" i="25" s="1"/>
  <c r="J5" i="25" s="1"/>
  <c r="C5" i="25" a="1"/>
  <c r="C5" i="25" s="1"/>
  <c r="E5" i="25" s="1"/>
  <c r="M4" i="25" a="1"/>
  <c r="M4" i="25" s="1"/>
  <c r="O4" i="25" s="1"/>
  <c r="H4" i="25" a="1"/>
  <c r="H4" i="25" s="1"/>
  <c r="J4" i="25" s="1"/>
  <c r="C4" i="25" a="1"/>
  <c r="C4" i="25" s="1"/>
  <c r="E4" i="25" s="1"/>
  <c r="R3" i="25" a="1"/>
  <c r="R3" i="25" s="1"/>
  <c r="T3" i="25" s="1"/>
  <c r="M3" i="25" a="1"/>
  <c r="M3" i="25" s="1"/>
  <c r="O3" i="25" s="1"/>
  <c r="H3" i="25" a="1"/>
  <c r="H3" i="25" s="1"/>
  <c r="J3" i="25" s="1"/>
  <c r="C3" i="25" a="1"/>
  <c r="C3" i="25" s="1"/>
  <c r="E3" i="25" s="1"/>
  <c r="AG2" i="25" a="1"/>
  <c r="AG2" i="25" s="1"/>
  <c r="AB2" i="25" a="1"/>
  <c r="AB2" i="25" s="1"/>
  <c r="W2" i="25" a="1"/>
  <c r="W2" i="25" s="1"/>
  <c r="R2" i="25" a="1"/>
  <c r="R2" i="25" s="1"/>
  <c r="M2" i="25" a="1"/>
  <c r="M2" i="25" s="1"/>
  <c r="H2" i="25" a="1"/>
  <c r="H2" i="25" s="1"/>
  <c r="C2" i="25" a="1"/>
  <c r="C2" i="25" s="1"/>
  <c r="AH22" i="24"/>
  <c r="AF22" i="24"/>
  <c r="AC22" i="24"/>
  <c r="AA22" i="24"/>
  <c r="X22" i="24"/>
  <c r="V22" i="24"/>
  <c r="S22" i="24"/>
  <c r="Q22" i="24"/>
  <c r="N22" i="24"/>
  <c r="L22" i="24"/>
  <c r="I22" i="24"/>
  <c r="G22" i="24"/>
  <c r="D22" i="24"/>
  <c r="B22" i="24"/>
  <c r="M21" i="24" a="1"/>
  <c r="M21" i="24" s="1"/>
  <c r="O21" i="24" s="1"/>
  <c r="H21" i="24" a="1"/>
  <c r="H21" i="24" s="1"/>
  <c r="J21" i="24" s="1"/>
  <c r="C21" i="24" a="1"/>
  <c r="C21" i="24" s="1"/>
  <c r="E21" i="24" s="1"/>
  <c r="M20" i="24" a="1"/>
  <c r="M20" i="24" s="1"/>
  <c r="O20" i="24" s="1"/>
  <c r="H20" i="24" a="1"/>
  <c r="H20" i="24" s="1"/>
  <c r="J20" i="24" s="1"/>
  <c r="C20" i="24" a="1"/>
  <c r="C20" i="24" s="1"/>
  <c r="E20" i="24" s="1"/>
  <c r="M19" i="24" a="1"/>
  <c r="M19" i="24" s="1"/>
  <c r="O19" i="24" s="1"/>
  <c r="H19" i="24" a="1"/>
  <c r="H19" i="24" s="1"/>
  <c r="J19" i="24" s="1"/>
  <c r="C19" i="24" a="1"/>
  <c r="C19" i="24" s="1"/>
  <c r="E19" i="24" s="1"/>
  <c r="M18" i="24" a="1"/>
  <c r="M18" i="24" s="1"/>
  <c r="O18" i="24" s="1"/>
  <c r="H18" i="24" a="1"/>
  <c r="H18" i="24" s="1"/>
  <c r="J18" i="24" s="1"/>
  <c r="C18" i="24" a="1"/>
  <c r="C18" i="24" s="1"/>
  <c r="E18" i="24" s="1"/>
  <c r="M17" i="24" a="1"/>
  <c r="M17" i="24" s="1"/>
  <c r="O17" i="24" s="1"/>
  <c r="H17" i="24" a="1"/>
  <c r="H17" i="24" s="1"/>
  <c r="J17" i="24" s="1"/>
  <c r="C17" i="24" a="1"/>
  <c r="C17" i="24" s="1"/>
  <c r="E17" i="24" s="1"/>
  <c r="M16" i="24" a="1"/>
  <c r="M16" i="24" s="1"/>
  <c r="O16" i="24" s="1"/>
  <c r="H16" i="24" a="1"/>
  <c r="H16" i="24" s="1"/>
  <c r="J16" i="24" s="1"/>
  <c r="C16" i="24" a="1"/>
  <c r="C16" i="24" s="1"/>
  <c r="E16" i="24" s="1"/>
  <c r="M15" i="24" a="1"/>
  <c r="M15" i="24" s="1"/>
  <c r="O15" i="24" s="1"/>
  <c r="H15" i="24" a="1"/>
  <c r="H15" i="24" s="1"/>
  <c r="J15" i="24" s="1"/>
  <c r="C15" i="24" a="1"/>
  <c r="C15" i="24" s="1"/>
  <c r="E15" i="24" s="1"/>
  <c r="M14" i="24" a="1"/>
  <c r="M14" i="24" s="1"/>
  <c r="O14" i="24" s="1"/>
  <c r="H14" i="24" a="1"/>
  <c r="H14" i="24" s="1"/>
  <c r="J14" i="24" s="1"/>
  <c r="C14" i="24" a="1"/>
  <c r="C14" i="24" s="1"/>
  <c r="E14" i="24" s="1"/>
  <c r="M13" i="24" a="1"/>
  <c r="M13" i="24" s="1"/>
  <c r="O13" i="24" s="1"/>
  <c r="H13" i="24" a="1"/>
  <c r="H13" i="24" s="1"/>
  <c r="J13" i="24" s="1"/>
  <c r="C13" i="24" a="1"/>
  <c r="C13" i="24" s="1"/>
  <c r="E13" i="24" s="1"/>
  <c r="M12" i="24" a="1"/>
  <c r="M12" i="24" s="1"/>
  <c r="O12" i="24" s="1"/>
  <c r="H12" i="24" a="1"/>
  <c r="H12" i="24" s="1"/>
  <c r="J12" i="24" s="1"/>
  <c r="C12" i="24" a="1"/>
  <c r="C12" i="24" s="1"/>
  <c r="E12" i="24" s="1"/>
  <c r="M11" i="24" a="1"/>
  <c r="M11" i="24" s="1"/>
  <c r="O11" i="24" s="1"/>
  <c r="H11" i="24" a="1"/>
  <c r="H11" i="24" s="1"/>
  <c r="J11" i="24" s="1"/>
  <c r="C11" i="24" a="1"/>
  <c r="C11" i="24" s="1"/>
  <c r="E11" i="24" s="1"/>
  <c r="M10" i="24" a="1"/>
  <c r="M10" i="24" s="1"/>
  <c r="O10" i="24" s="1"/>
  <c r="H10" i="24" a="1"/>
  <c r="H10" i="24" s="1"/>
  <c r="J10" i="24" s="1"/>
  <c r="C10" i="24" a="1"/>
  <c r="C10" i="24" s="1"/>
  <c r="E10" i="24" s="1"/>
  <c r="M9" i="24" a="1"/>
  <c r="M9" i="24" s="1"/>
  <c r="O9" i="24" s="1"/>
  <c r="H9" i="24" a="1"/>
  <c r="H9" i="24" s="1"/>
  <c r="J9" i="24" s="1"/>
  <c r="C9" i="24" a="1"/>
  <c r="C9" i="24" s="1"/>
  <c r="E9" i="24" s="1"/>
  <c r="M8" i="24" a="1"/>
  <c r="M8" i="24" s="1"/>
  <c r="O8" i="24" s="1"/>
  <c r="H8" i="24" a="1"/>
  <c r="H8" i="24" s="1"/>
  <c r="J8" i="24" s="1"/>
  <c r="C8" i="24" a="1"/>
  <c r="C8" i="24" s="1"/>
  <c r="E8" i="24" s="1"/>
  <c r="M7" i="24" a="1"/>
  <c r="M7" i="24" s="1"/>
  <c r="O7" i="24" s="1"/>
  <c r="H7" i="24" a="1"/>
  <c r="H7" i="24" s="1"/>
  <c r="J7" i="24" s="1"/>
  <c r="C7" i="24" a="1"/>
  <c r="C7" i="24" s="1"/>
  <c r="E7" i="24" s="1"/>
  <c r="M6" i="24" a="1"/>
  <c r="M6" i="24" s="1"/>
  <c r="O6" i="24" s="1"/>
  <c r="H6" i="24" a="1"/>
  <c r="H6" i="24" s="1"/>
  <c r="J6" i="24" s="1"/>
  <c r="C6" i="24" a="1"/>
  <c r="C6" i="24" s="1"/>
  <c r="E6" i="24" s="1"/>
  <c r="M5" i="24" a="1"/>
  <c r="M5" i="24" s="1"/>
  <c r="O5" i="24" s="1"/>
  <c r="H5" i="24" a="1"/>
  <c r="H5" i="24" s="1"/>
  <c r="J5" i="24" s="1"/>
  <c r="C5" i="24" a="1"/>
  <c r="C5" i="24" s="1"/>
  <c r="E5" i="24" s="1"/>
  <c r="M4" i="24" a="1"/>
  <c r="M4" i="24" s="1"/>
  <c r="O4" i="24" s="1"/>
  <c r="H4" i="24" a="1"/>
  <c r="H4" i="24" s="1"/>
  <c r="J4" i="24" s="1"/>
  <c r="C4" i="24" a="1"/>
  <c r="C4" i="24" s="1"/>
  <c r="E4" i="24" s="1"/>
  <c r="R3" i="24" a="1"/>
  <c r="R3" i="24" s="1"/>
  <c r="T3" i="24" s="1"/>
  <c r="M3" i="24" a="1"/>
  <c r="M3" i="24" s="1"/>
  <c r="O3" i="24" s="1"/>
  <c r="H3" i="24" a="1"/>
  <c r="H3" i="24" s="1"/>
  <c r="J3" i="24" s="1"/>
  <c r="C3" i="24" a="1"/>
  <c r="C3" i="24" s="1"/>
  <c r="E3" i="24" s="1"/>
  <c r="AG2" i="24" a="1"/>
  <c r="AG2" i="24" s="1"/>
  <c r="AB2" i="24" a="1"/>
  <c r="AB2" i="24" s="1"/>
  <c r="W2" i="24" a="1"/>
  <c r="W2" i="24" s="1"/>
  <c r="R2" i="24" a="1"/>
  <c r="R2" i="24" s="1"/>
  <c r="M2" i="24" a="1"/>
  <c r="M2" i="24" s="1"/>
  <c r="H2" i="24" a="1"/>
  <c r="H2" i="24" s="1"/>
  <c r="C2" i="24" a="1"/>
  <c r="C2" i="24" s="1"/>
  <c r="S22" i="20"/>
  <c r="T12" i="11"/>
  <c r="AH22" i="23"/>
  <c r="AF22" i="23"/>
  <c r="AA22" i="23"/>
  <c r="X22" i="23"/>
  <c r="V22" i="23"/>
  <c r="S22" i="23"/>
  <c r="Q22" i="23"/>
  <c r="N22" i="23"/>
  <c r="L22" i="23"/>
  <c r="I22" i="23"/>
  <c r="G22" i="23"/>
  <c r="D22" i="23"/>
  <c r="B22" i="23"/>
  <c r="M21" i="23" a="1"/>
  <c r="M21" i="23" s="1"/>
  <c r="O21" i="23" s="1"/>
  <c r="H21" i="23" a="1"/>
  <c r="H21" i="23" s="1"/>
  <c r="J21" i="23" s="1"/>
  <c r="C21" i="23" a="1"/>
  <c r="C21" i="23" s="1"/>
  <c r="E21" i="23" s="1"/>
  <c r="M20" i="23" a="1"/>
  <c r="M20" i="23" s="1"/>
  <c r="O20" i="23" s="1"/>
  <c r="H20" i="23" a="1"/>
  <c r="H20" i="23" s="1"/>
  <c r="J20" i="23" s="1"/>
  <c r="C20" i="23" a="1"/>
  <c r="C20" i="23" s="1"/>
  <c r="E20" i="23" s="1"/>
  <c r="M19" i="23" a="1"/>
  <c r="M19" i="23" s="1"/>
  <c r="O19" i="23" s="1"/>
  <c r="H19" i="23" a="1"/>
  <c r="H19" i="23" s="1"/>
  <c r="J19" i="23" s="1"/>
  <c r="C19" i="23" a="1"/>
  <c r="C19" i="23" s="1"/>
  <c r="E19" i="23" s="1"/>
  <c r="M18" i="23" a="1"/>
  <c r="M18" i="23" s="1"/>
  <c r="O18" i="23" s="1"/>
  <c r="H18" i="23" a="1"/>
  <c r="H18" i="23" s="1"/>
  <c r="J18" i="23" s="1"/>
  <c r="C18" i="23" a="1"/>
  <c r="C18" i="23" s="1"/>
  <c r="E18" i="23" s="1"/>
  <c r="M17" i="23" a="1"/>
  <c r="M17" i="23" s="1"/>
  <c r="O17" i="23" s="1"/>
  <c r="H17" i="23" a="1"/>
  <c r="H17" i="23" s="1"/>
  <c r="J17" i="23" s="1"/>
  <c r="C17" i="23" a="1"/>
  <c r="C17" i="23" s="1"/>
  <c r="E17" i="23" s="1"/>
  <c r="M16" i="23" a="1"/>
  <c r="M16" i="23" s="1"/>
  <c r="O16" i="23" s="1"/>
  <c r="H16" i="23" a="1"/>
  <c r="H16" i="23" s="1"/>
  <c r="J16" i="23" s="1"/>
  <c r="C16" i="23" a="1"/>
  <c r="C16" i="23" s="1"/>
  <c r="E16" i="23" s="1"/>
  <c r="M15" i="23" a="1"/>
  <c r="M15" i="23" s="1"/>
  <c r="O15" i="23" s="1"/>
  <c r="H15" i="23" a="1"/>
  <c r="H15" i="23" s="1"/>
  <c r="J15" i="23" s="1"/>
  <c r="C15" i="23" a="1"/>
  <c r="C15" i="23" s="1"/>
  <c r="E15" i="23" s="1"/>
  <c r="M14" i="23" a="1"/>
  <c r="M14" i="23" s="1"/>
  <c r="O14" i="23" s="1"/>
  <c r="H14" i="23" a="1"/>
  <c r="H14" i="23" s="1"/>
  <c r="J14" i="23" s="1"/>
  <c r="C14" i="23" a="1"/>
  <c r="C14" i="23" s="1"/>
  <c r="E14" i="23" s="1"/>
  <c r="M13" i="23" a="1"/>
  <c r="M13" i="23" s="1"/>
  <c r="O13" i="23" s="1"/>
  <c r="H13" i="23" a="1"/>
  <c r="H13" i="23" s="1"/>
  <c r="J13" i="23" s="1"/>
  <c r="C13" i="23" a="1"/>
  <c r="C13" i="23" s="1"/>
  <c r="E13" i="23" s="1"/>
  <c r="M12" i="23" a="1"/>
  <c r="M12" i="23" s="1"/>
  <c r="O12" i="23" s="1"/>
  <c r="H12" i="23" a="1"/>
  <c r="H12" i="23" s="1"/>
  <c r="J12" i="23" s="1"/>
  <c r="C12" i="23" a="1"/>
  <c r="C12" i="23" s="1"/>
  <c r="E12" i="23" s="1"/>
  <c r="M11" i="23" a="1"/>
  <c r="M11" i="23" s="1"/>
  <c r="O11" i="23" s="1"/>
  <c r="H11" i="23" a="1"/>
  <c r="H11" i="23" s="1"/>
  <c r="J11" i="23" s="1"/>
  <c r="C11" i="23" a="1"/>
  <c r="C11" i="23" s="1"/>
  <c r="E11" i="23" s="1"/>
  <c r="M10" i="23" a="1"/>
  <c r="M10" i="23" s="1"/>
  <c r="O10" i="23" s="1"/>
  <c r="H10" i="23" a="1"/>
  <c r="H10" i="23" s="1"/>
  <c r="J10" i="23" s="1"/>
  <c r="C10" i="23" a="1"/>
  <c r="C10" i="23" s="1"/>
  <c r="E10" i="23" s="1"/>
  <c r="M9" i="23" a="1"/>
  <c r="M9" i="23" s="1"/>
  <c r="O9" i="23" s="1"/>
  <c r="H9" i="23" a="1"/>
  <c r="H9" i="23" s="1"/>
  <c r="J9" i="23" s="1"/>
  <c r="C9" i="23" a="1"/>
  <c r="C9" i="23" s="1"/>
  <c r="E9" i="23" s="1"/>
  <c r="M8" i="23" a="1"/>
  <c r="M8" i="23" s="1"/>
  <c r="O8" i="23" s="1"/>
  <c r="H8" i="23" a="1"/>
  <c r="H8" i="23" s="1"/>
  <c r="J8" i="23" s="1"/>
  <c r="C8" i="23" a="1"/>
  <c r="C8" i="23" s="1"/>
  <c r="E8" i="23" s="1"/>
  <c r="M7" i="23" a="1"/>
  <c r="M7" i="23" s="1"/>
  <c r="O7" i="23" s="1"/>
  <c r="H7" i="23" a="1"/>
  <c r="H7" i="23" s="1"/>
  <c r="J7" i="23" s="1"/>
  <c r="C7" i="23" a="1"/>
  <c r="C7" i="23" s="1"/>
  <c r="E7" i="23" s="1"/>
  <c r="M6" i="23" a="1"/>
  <c r="M6" i="23" s="1"/>
  <c r="O6" i="23" s="1"/>
  <c r="H6" i="23" a="1"/>
  <c r="H6" i="23" s="1"/>
  <c r="J6" i="23" s="1"/>
  <c r="C6" i="23" a="1"/>
  <c r="C6" i="23" s="1"/>
  <c r="E6" i="23" s="1"/>
  <c r="M5" i="23" a="1"/>
  <c r="M5" i="23" s="1"/>
  <c r="O5" i="23" s="1"/>
  <c r="H5" i="23" a="1"/>
  <c r="H5" i="23" s="1"/>
  <c r="J5" i="23" s="1"/>
  <c r="C5" i="23" a="1"/>
  <c r="C5" i="23" s="1"/>
  <c r="E5" i="23" s="1"/>
  <c r="M4" i="23" a="1"/>
  <c r="M4" i="23" s="1"/>
  <c r="O4" i="23" s="1"/>
  <c r="H4" i="23" a="1"/>
  <c r="H4" i="23" s="1"/>
  <c r="J4" i="23" s="1"/>
  <c r="C4" i="23" a="1"/>
  <c r="C4" i="23" s="1"/>
  <c r="E4" i="23" s="1"/>
  <c r="R3" i="23" a="1"/>
  <c r="R3" i="23" s="1"/>
  <c r="T3" i="23" s="1"/>
  <c r="M3" i="23" a="1"/>
  <c r="M3" i="23" s="1"/>
  <c r="O3" i="23" s="1"/>
  <c r="H3" i="23" a="1"/>
  <c r="H3" i="23" s="1"/>
  <c r="J3" i="23" s="1"/>
  <c r="C3" i="23" a="1"/>
  <c r="C3" i="23" s="1"/>
  <c r="E3" i="23" s="1"/>
  <c r="AG2" i="23" a="1"/>
  <c r="AG2" i="23" s="1"/>
  <c r="AB2" i="23" a="1"/>
  <c r="AB2" i="23" s="1"/>
  <c r="W2" i="23" a="1"/>
  <c r="W2" i="23" s="1"/>
  <c r="R2" i="23" a="1"/>
  <c r="R2" i="23" s="1"/>
  <c r="M2" i="23" a="1"/>
  <c r="M2" i="23" s="1"/>
  <c r="H2" i="23" a="1"/>
  <c r="H2" i="23" s="1"/>
  <c r="C2" i="23" a="1"/>
  <c r="C2" i="23" s="1"/>
  <c r="R2" i="20" a="1"/>
  <c r="R2" i="20" s="1"/>
  <c r="AH22" i="22"/>
  <c r="AF22" i="22"/>
  <c r="AC22" i="22"/>
  <c r="AA22" i="22"/>
  <c r="X22" i="22"/>
  <c r="V22" i="22"/>
  <c r="S22" i="22"/>
  <c r="Q22" i="22"/>
  <c r="N22" i="22"/>
  <c r="L22" i="22"/>
  <c r="G22" i="22"/>
  <c r="B22" i="22"/>
  <c r="M21" i="22" a="1"/>
  <c r="M21" i="22" s="1"/>
  <c r="O21" i="22" s="1"/>
  <c r="H21" i="22" a="1"/>
  <c r="H21" i="22" s="1"/>
  <c r="C21" i="22" a="1"/>
  <c r="C21" i="22" s="1"/>
  <c r="M20" i="22" a="1"/>
  <c r="M20" i="22" s="1"/>
  <c r="O20" i="22" s="1"/>
  <c r="H20" i="22" a="1"/>
  <c r="H20" i="22" s="1"/>
  <c r="C20" i="22" a="1"/>
  <c r="C20" i="22" s="1"/>
  <c r="M19" i="22" a="1"/>
  <c r="M19" i="22" s="1"/>
  <c r="O19" i="22" s="1"/>
  <c r="H19" i="22" a="1"/>
  <c r="H19" i="22" s="1"/>
  <c r="C19" i="22" a="1"/>
  <c r="C19" i="22" s="1"/>
  <c r="M18" i="22" a="1"/>
  <c r="M18" i="22" s="1"/>
  <c r="O18" i="22" s="1"/>
  <c r="H18" i="22" a="1"/>
  <c r="H18" i="22" s="1"/>
  <c r="C18" i="22" a="1"/>
  <c r="C18" i="22" s="1"/>
  <c r="M17" i="22" a="1"/>
  <c r="M17" i="22" s="1"/>
  <c r="O17" i="22" s="1"/>
  <c r="H17" i="22" a="1"/>
  <c r="H17" i="22" s="1"/>
  <c r="C17" i="22" a="1"/>
  <c r="C17" i="22" s="1"/>
  <c r="M16" i="22" a="1"/>
  <c r="M16" i="22" s="1"/>
  <c r="O16" i="22" s="1"/>
  <c r="H16" i="22" a="1"/>
  <c r="H16" i="22" s="1"/>
  <c r="C16" i="22" a="1"/>
  <c r="C16" i="22" s="1"/>
  <c r="M15" i="22" a="1"/>
  <c r="M15" i="22" s="1"/>
  <c r="O15" i="22" s="1"/>
  <c r="H15" i="22" a="1"/>
  <c r="H15" i="22" s="1"/>
  <c r="C15" i="22" a="1"/>
  <c r="C15" i="22" s="1"/>
  <c r="M14" i="22" a="1"/>
  <c r="M14" i="22" s="1"/>
  <c r="O14" i="22" s="1"/>
  <c r="H14" i="22" a="1"/>
  <c r="H14" i="22" s="1"/>
  <c r="C14" i="22" a="1"/>
  <c r="C14" i="22" s="1"/>
  <c r="M13" i="22" a="1"/>
  <c r="M13" i="22" s="1"/>
  <c r="O13" i="22" s="1"/>
  <c r="H13" i="22" a="1"/>
  <c r="H13" i="22" s="1"/>
  <c r="C13" i="22" a="1"/>
  <c r="C13" i="22" s="1"/>
  <c r="M12" i="22" a="1"/>
  <c r="M12" i="22" s="1"/>
  <c r="O12" i="22" s="1"/>
  <c r="H12" i="22" a="1"/>
  <c r="H12" i="22" s="1"/>
  <c r="C12" i="22" a="1"/>
  <c r="C12" i="22" s="1"/>
  <c r="M11" i="22" a="1"/>
  <c r="M11" i="22" s="1"/>
  <c r="O11" i="22" s="1"/>
  <c r="H11" i="22" a="1"/>
  <c r="H11" i="22" s="1"/>
  <c r="C11" i="22" a="1"/>
  <c r="C11" i="22" s="1"/>
  <c r="M10" i="22" a="1"/>
  <c r="M10" i="22" s="1"/>
  <c r="O10" i="22" s="1"/>
  <c r="H10" i="22" a="1"/>
  <c r="H10" i="22" s="1"/>
  <c r="C10" i="22" a="1"/>
  <c r="C10" i="22" s="1"/>
  <c r="M9" i="22" a="1"/>
  <c r="M9" i="22" s="1"/>
  <c r="O9" i="22" s="1"/>
  <c r="H9" i="22" a="1"/>
  <c r="H9" i="22" s="1"/>
  <c r="C9" i="22" a="1"/>
  <c r="C9" i="22" s="1"/>
  <c r="M8" i="22" a="1"/>
  <c r="M8" i="22" s="1"/>
  <c r="O8" i="22" s="1"/>
  <c r="H8" i="22" a="1"/>
  <c r="H8" i="22" s="1"/>
  <c r="C8" i="22" a="1"/>
  <c r="C8" i="22" s="1"/>
  <c r="M7" i="22" a="1"/>
  <c r="M7" i="22" s="1"/>
  <c r="O7" i="22" s="1"/>
  <c r="H7" i="22" a="1"/>
  <c r="H7" i="22" s="1"/>
  <c r="C7" i="22" a="1"/>
  <c r="C7" i="22" s="1"/>
  <c r="M6" i="22" a="1"/>
  <c r="M6" i="22" s="1"/>
  <c r="O6" i="22" s="1"/>
  <c r="H6" i="22" a="1"/>
  <c r="H6" i="22" s="1"/>
  <c r="C6" i="22" a="1"/>
  <c r="C6" i="22" s="1"/>
  <c r="M5" i="22" a="1"/>
  <c r="M5" i="22" s="1"/>
  <c r="O5" i="22" s="1"/>
  <c r="H5" i="22" a="1"/>
  <c r="H5" i="22" s="1"/>
  <c r="C5" i="22" a="1"/>
  <c r="C5" i="22" s="1"/>
  <c r="M4" i="22" a="1"/>
  <c r="M4" i="22" s="1"/>
  <c r="O4" i="22" s="1"/>
  <c r="H4" i="22" a="1"/>
  <c r="H4" i="22" s="1"/>
  <c r="C4" i="22" a="1"/>
  <c r="C4" i="22" s="1"/>
  <c r="R3" i="22" a="1"/>
  <c r="R3" i="22" s="1"/>
  <c r="T3" i="22" s="1"/>
  <c r="M3" i="22" a="1"/>
  <c r="M3" i="22" s="1"/>
  <c r="O3" i="22" s="1"/>
  <c r="H3" i="22" a="1"/>
  <c r="H3" i="22" s="1"/>
  <c r="C3" i="22" a="1"/>
  <c r="C3" i="22" s="1"/>
  <c r="AG2" i="22" a="1"/>
  <c r="AG2" i="22" s="1"/>
  <c r="AB2" i="22" a="1"/>
  <c r="AB2" i="22" s="1"/>
  <c r="W2" i="22" a="1"/>
  <c r="W2" i="22" s="1"/>
  <c r="R2" i="22" a="1"/>
  <c r="R2" i="22" s="1"/>
  <c r="M2" i="22" a="1"/>
  <c r="M2" i="22" s="1"/>
  <c r="H2" i="22" a="1"/>
  <c r="H2" i="22" s="1"/>
  <c r="C2" i="22" a="1"/>
  <c r="C2" i="22" s="1"/>
  <c r="AH22" i="20"/>
  <c r="X22" i="20"/>
  <c r="N22" i="20"/>
  <c r="I22" i="20"/>
  <c r="D22" i="20"/>
  <c r="AB2" i="20" a="1"/>
  <c r="AB2" i="20" s="1"/>
  <c r="M2" i="20" a="1"/>
  <c r="M2" i="20" s="1"/>
  <c r="AF22" i="20"/>
  <c r="AA22" i="20"/>
  <c r="V22" i="20"/>
  <c r="Q22" i="20"/>
  <c r="L22" i="20"/>
  <c r="G22" i="20"/>
  <c r="B22" i="20"/>
  <c r="M21" i="20" a="1"/>
  <c r="M21" i="20" s="1"/>
  <c r="O21" i="20" s="1"/>
  <c r="H21" i="20" a="1"/>
  <c r="H21" i="20" s="1"/>
  <c r="J21" i="20" s="1"/>
  <c r="C21" i="20" a="1"/>
  <c r="C21" i="20" s="1"/>
  <c r="E21" i="20" s="1"/>
  <c r="M20" i="20" a="1"/>
  <c r="M20" i="20" s="1"/>
  <c r="O20" i="20" s="1"/>
  <c r="H20" i="20" a="1"/>
  <c r="H20" i="20" s="1"/>
  <c r="J20" i="20" s="1"/>
  <c r="C20" i="20" a="1"/>
  <c r="C20" i="20" s="1"/>
  <c r="E20" i="20" s="1"/>
  <c r="M19" i="20" a="1"/>
  <c r="M19" i="20" s="1"/>
  <c r="O19" i="20" s="1"/>
  <c r="H19" i="20" a="1"/>
  <c r="H19" i="20" s="1"/>
  <c r="J19" i="20" s="1"/>
  <c r="C19" i="20" a="1"/>
  <c r="C19" i="20" s="1"/>
  <c r="E19" i="20" s="1"/>
  <c r="M18" i="20" a="1"/>
  <c r="M18" i="20" s="1"/>
  <c r="O18" i="20" s="1"/>
  <c r="H18" i="20" a="1"/>
  <c r="H18" i="20" s="1"/>
  <c r="J18" i="20" s="1"/>
  <c r="C18" i="20" a="1"/>
  <c r="C18" i="20" s="1"/>
  <c r="E18" i="20" s="1"/>
  <c r="M17" i="20" a="1"/>
  <c r="M17" i="20" s="1"/>
  <c r="O17" i="20" s="1"/>
  <c r="H17" i="20" a="1"/>
  <c r="H17" i="20" s="1"/>
  <c r="J17" i="20" s="1"/>
  <c r="C17" i="20" a="1"/>
  <c r="C17" i="20" s="1"/>
  <c r="E17" i="20" s="1"/>
  <c r="M16" i="20" a="1"/>
  <c r="M16" i="20" s="1"/>
  <c r="O16" i="20" s="1"/>
  <c r="H16" i="20" a="1"/>
  <c r="H16" i="20" s="1"/>
  <c r="J16" i="20" s="1"/>
  <c r="C16" i="20" a="1"/>
  <c r="C16" i="20" s="1"/>
  <c r="E16" i="20" s="1"/>
  <c r="M15" i="20" a="1"/>
  <c r="M15" i="20" s="1"/>
  <c r="O15" i="20" s="1"/>
  <c r="H15" i="20" a="1"/>
  <c r="H15" i="20" s="1"/>
  <c r="J15" i="20" s="1"/>
  <c r="C15" i="20" a="1"/>
  <c r="C15" i="20" s="1"/>
  <c r="E15" i="20" s="1"/>
  <c r="M14" i="20" a="1"/>
  <c r="M14" i="20" s="1"/>
  <c r="O14" i="20" s="1"/>
  <c r="H14" i="20" a="1"/>
  <c r="H14" i="20" s="1"/>
  <c r="J14" i="20" s="1"/>
  <c r="C14" i="20" a="1"/>
  <c r="C14" i="20" s="1"/>
  <c r="E14" i="20" s="1"/>
  <c r="M13" i="20" a="1"/>
  <c r="M13" i="20" s="1"/>
  <c r="O13" i="20" s="1"/>
  <c r="H13" i="20" a="1"/>
  <c r="H13" i="20" s="1"/>
  <c r="J13" i="20" s="1"/>
  <c r="C13" i="20" a="1"/>
  <c r="C13" i="20" s="1"/>
  <c r="E13" i="20" s="1"/>
  <c r="M12" i="20" a="1"/>
  <c r="M12" i="20" s="1"/>
  <c r="O12" i="20" s="1"/>
  <c r="H12" i="20" a="1"/>
  <c r="H12" i="20" s="1"/>
  <c r="J12" i="20" s="1"/>
  <c r="C12" i="20" a="1"/>
  <c r="C12" i="20" s="1"/>
  <c r="E12" i="20" s="1"/>
  <c r="M11" i="20" a="1"/>
  <c r="M11" i="20" s="1"/>
  <c r="O11" i="20" s="1"/>
  <c r="H11" i="20" a="1"/>
  <c r="H11" i="20" s="1"/>
  <c r="J11" i="20" s="1"/>
  <c r="C11" i="20" a="1"/>
  <c r="C11" i="20" s="1"/>
  <c r="E11" i="20" s="1"/>
  <c r="M10" i="20" a="1"/>
  <c r="M10" i="20" s="1"/>
  <c r="O10" i="20" s="1"/>
  <c r="H10" i="20" a="1"/>
  <c r="H10" i="20" s="1"/>
  <c r="J10" i="20" s="1"/>
  <c r="C10" i="20" a="1"/>
  <c r="C10" i="20" s="1"/>
  <c r="E10" i="20" s="1"/>
  <c r="M9" i="20" a="1"/>
  <c r="M9" i="20" s="1"/>
  <c r="O9" i="20" s="1"/>
  <c r="H9" i="20" a="1"/>
  <c r="H9" i="20" s="1"/>
  <c r="J9" i="20" s="1"/>
  <c r="C9" i="20" a="1"/>
  <c r="C9" i="20" s="1"/>
  <c r="E9" i="20" s="1"/>
  <c r="M8" i="20" a="1"/>
  <c r="M8" i="20" s="1"/>
  <c r="O8" i="20" s="1"/>
  <c r="H8" i="20" a="1"/>
  <c r="H8" i="20" s="1"/>
  <c r="J8" i="20" s="1"/>
  <c r="C8" i="20" a="1"/>
  <c r="C8" i="20" s="1"/>
  <c r="E8" i="20" s="1"/>
  <c r="M7" i="20" a="1"/>
  <c r="M7" i="20" s="1"/>
  <c r="O7" i="20" s="1"/>
  <c r="H7" i="20" a="1"/>
  <c r="H7" i="20" s="1"/>
  <c r="J7" i="20" s="1"/>
  <c r="C7" i="20" a="1"/>
  <c r="C7" i="20" s="1"/>
  <c r="E7" i="20" s="1"/>
  <c r="M6" i="20" a="1"/>
  <c r="M6" i="20" s="1"/>
  <c r="O6" i="20" s="1"/>
  <c r="H6" i="20" a="1"/>
  <c r="H6" i="20" s="1"/>
  <c r="J6" i="20" s="1"/>
  <c r="C6" i="20" a="1"/>
  <c r="C6" i="20" s="1"/>
  <c r="E6" i="20" s="1"/>
  <c r="M5" i="20" a="1"/>
  <c r="M5" i="20" s="1"/>
  <c r="O5" i="20" s="1"/>
  <c r="H5" i="20" a="1"/>
  <c r="H5" i="20" s="1"/>
  <c r="J5" i="20" s="1"/>
  <c r="C5" i="20" a="1"/>
  <c r="C5" i="20" s="1"/>
  <c r="E5" i="20" s="1"/>
  <c r="M4" i="20" a="1"/>
  <c r="M4" i="20" s="1"/>
  <c r="O4" i="20" s="1"/>
  <c r="H4" i="20" a="1"/>
  <c r="H4" i="20" s="1"/>
  <c r="J4" i="20" s="1"/>
  <c r="C4" i="20" a="1"/>
  <c r="C4" i="20" s="1"/>
  <c r="E4" i="20" s="1"/>
  <c r="R3" i="20" a="1"/>
  <c r="R3" i="20" s="1"/>
  <c r="T3" i="20" s="1"/>
  <c r="M3" i="20" a="1"/>
  <c r="M3" i="20" s="1"/>
  <c r="O3" i="20" s="1"/>
  <c r="H3" i="20" a="1"/>
  <c r="H3" i="20" s="1"/>
  <c r="J3" i="20" s="1"/>
  <c r="C3" i="20" a="1"/>
  <c r="C3" i="20" s="1"/>
  <c r="E3" i="20" s="1"/>
  <c r="AG2" i="20" a="1"/>
  <c r="AG2" i="20" s="1"/>
  <c r="W2" i="20" a="1"/>
  <c r="W2" i="20" s="1"/>
  <c r="Y2" i="20" s="1"/>
  <c r="H2" i="20" a="1"/>
  <c r="H2" i="20" s="1"/>
  <c r="C2" i="20" a="1"/>
  <c r="C2" i="20" s="1"/>
  <c r="E3" i="13" a="1"/>
  <c r="E3" i="13" s="1"/>
  <c r="E4" i="13" a="1"/>
  <c r="E4" i="13" s="1"/>
  <c r="E5" i="13" a="1"/>
  <c r="E5" i="13" s="1"/>
  <c r="E6" i="13" a="1"/>
  <c r="E6" i="13" s="1"/>
  <c r="E7" i="13" a="1"/>
  <c r="E7" i="13" s="1"/>
  <c r="E8" i="13" a="1"/>
  <c r="E8" i="13" s="1"/>
  <c r="E9" i="13" a="1"/>
  <c r="E9" i="13" s="1"/>
  <c r="E10" i="13" a="1"/>
  <c r="E10" i="13" s="1"/>
  <c r="E11" i="13" a="1"/>
  <c r="E11" i="13" s="1"/>
  <c r="E12" i="13" a="1"/>
  <c r="E12" i="13" s="1"/>
  <c r="E13" i="13" a="1"/>
  <c r="E13" i="13" s="1"/>
  <c r="E14" i="13" a="1"/>
  <c r="E14" i="13" s="1"/>
  <c r="E15" i="13" a="1"/>
  <c r="E15" i="13" s="1"/>
  <c r="E16" i="13" a="1"/>
  <c r="E16" i="13" s="1"/>
  <c r="E17" i="13" a="1"/>
  <c r="E17" i="13" s="1"/>
  <c r="E18" i="13" a="1"/>
  <c r="E18" i="13" s="1"/>
  <c r="E19" i="13" a="1"/>
  <c r="E19" i="13" s="1"/>
  <c r="E20" i="13" a="1"/>
  <c r="E20" i="13" s="1"/>
  <c r="E21" i="13" a="1"/>
  <c r="E21" i="13" s="1"/>
  <c r="E22" i="13" a="1"/>
  <c r="E22" i="13" s="1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2" i="13" a="1"/>
  <c r="E2" i="13" s="1"/>
  <c r="D3" i="13" a="1"/>
  <c r="D3" i="13" s="1"/>
  <c r="D4" i="13" a="1"/>
  <c r="D4" i="13" s="1"/>
  <c r="D5" i="13" a="1"/>
  <c r="D5" i="13" s="1"/>
  <c r="D6" i="13" a="1"/>
  <c r="D6" i="13" s="1"/>
  <c r="D7" i="13" a="1"/>
  <c r="D7" i="13" s="1"/>
  <c r="D8" i="13" a="1"/>
  <c r="D8" i="13" s="1"/>
  <c r="D9" i="13" a="1"/>
  <c r="D9" i="13" s="1"/>
  <c r="D10" i="13" a="1"/>
  <c r="D10" i="13" s="1"/>
  <c r="D11" i="13" a="1"/>
  <c r="D11" i="13" s="1"/>
  <c r="D12" i="13" a="1"/>
  <c r="D12" i="13" s="1"/>
  <c r="D13" i="13" a="1"/>
  <c r="D13" i="13" s="1"/>
  <c r="D14" i="13" a="1"/>
  <c r="D14" i="13" s="1"/>
  <c r="D15" i="13" a="1"/>
  <c r="D15" i="13" s="1"/>
  <c r="D16" i="13" a="1"/>
  <c r="D16" i="13" s="1"/>
  <c r="D17" i="13" a="1"/>
  <c r="D17" i="13" s="1"/>
  <c r="D18" i="13" a="1"/>
  <c r="D18" i="13" s="1"/>
  <c r="D19" i="13" a="1"/>
  <c r="D19" i="13" s="1"/>
  <c r="D20" i="13" a="1"/>
  <c r="D20" i="13" s="1"/>
  <c r="D21" i="13" a="1"/>
  <c r="D21" i="13" s="1"/>
  <c r="D22" i="13" a="1"/>
  <c r="D22" i="13" s="1"/>
  <c r="D23" i="13" a="1"/>
  <c r="D23" i="13" s="1"/>
  <c r="D24" i="13" a="1"/>
  <c r="D24" i="13" s="1"/>
  <c r="D25" i="13" a="1"/>
  <c r="D25" i="13" s="1"/>
  <c r="D26" i="13" a="1"/>
  <c r="D26" i="13" s="1"/>
  <c r="D27" i="13" a="1"/>
  <c r="D27" i="13" s="1"/>
  <c r="D28" i="13" a="1"/>
  <c r="D28" i="13" s="1"/>
  <c r="D29" i="13" a="1"/>
  <c r="D29" i="13" s="1"/>
  <c r="D30" i="13" a="1"/>
  <c r="D30" i="13" s="1"/>
  <c r="D31" i="13" a="1"/>
  <c r="D31" i="13" s="1"/>
  <c r="D32" i="13" a="1"/>
  <c r="D32" i="13" s="1"/>
  <c r="D33" i="13" a="1"/>
  <c r="D33" i="13" s="1"/>
  <c r="D34" i="13" a="1"/>
  <c r="D34" i="13" s="1"/>
  <c r="D35" i="13" a="1"/>
  <c r="D35" i="13" s="1"/>
  <c r="D36" i="13" a="1"/>
  <c r="D36" i="13" s="1"/>
  <c r="D37" i="13" a="1"/>
  <c r="D37" i="13" s="1"/>
  <c r="D38" i="13" a="1"/>
  <c r="D38" i="13" s="1"/>
  <c r="D39" i="13" a="1"/>
  <c r="D39" i="13" s="1"/>
  <c r="D40" i="13" a="1"/>
  <c r="D40" i="13" s="1"/>
  <c r="D41" i="13" a="1"/>
  <c r="D41" i="13" s="1"/>
  <c r="D42" i="13" a="1"/>
  <c r="D42" i="13" s="1"/>
  <c r="D43" i="13" a="1"/>
  <c r="D43" i="13" s="1"/>
  <c r="D44" i="13" a="1"/>
  <c r="D44" i="13" s="1"/>
  <c r="D45" i="13" a="1"/>
  <c r="D45" i="13" s="1"/>
  <c r="D46" i="13" a="1"/>
  <c r="D46" i="13" s="1"/>
  <c r="D47" i="13" a="1"/>
  <c r="D47" i="13" s="1"/>
  <c r="D48" i="13" a="1"/>
  <c r="D48" i="13" s="1"/>
  <c r="D49" i="13" a="1"/>
  <c r="D49" i="13" s="1"/>
  <c r="D50" i="13" a="1"/>
  <c r="D50" i="13" s="1"/>
  <c r="D51" i="13" a="1"/>
  <c r="D51" i="13" s="1"/>
  <c r="D52" i="13" a="1"/>
  <c r="D52" i="13" s="1"/>
  <c r="D2" i="13" a="1"/>
  <c r="D2" i="13" s="1"/>
  <c r="Y16" i="11" a="1"/>
  <c r="Y16" i="11" s="1"/>
  <c r="Y17" i="11" a="1"/>
  <c r="Y17" i="11" s="1"/>
  <c r="Y18" i="11" a="1"/>
  <c r="Y18" i="11" s="1"/>
  <c r="Y19" i="11" a="1"/>
  <c r="Y19" i="11" s="1"/>
  <c r="Y20" i="11" a="1"/>
  <c r="Y20" i="11" s="1"/>
  <c r="Y21" i="11" a="1"/>
  <c r="Y21" i="11" s="1"/>
  <c r="Y22" i="11" a="1"/>
  <c r="Y22" i="11" s="1"/>
  <c r="Y23" i="11" a="1"/>
  <c r="Y23" i="11" s="1"/>
  <c r="Y24" i="11" a="1"/>
  <c r="Y24" i="11" s="1"/>
  <c r="Y25" i="11" a="1"/>
  <c r="Y25" i="11" s="1"/>
  <c r="Y26" i="11" a="1"/>
  <c r="Y26" i="11" s="1"/>
  <c r="Y27" i="11" a="1"/>
  <c r="Y27" i="11" s="1"/>
  <c r="Y28" i="11" a="1"/>
  <c r="Y28" i="11" s="1"/>
  <c r="Y15" i="11" a="1"/>
  <c r="Y15" i="11" s="1"/>
  <c r="Z17" i="11" a="1"/>
  <c r="Z17" i="11" s="1"/>
  <c r="Z18" i="11" a="1"/>
  <c r="Z18" i="11" s="1"/>
  <c r="Z19" i="11" a="1"/>
  <c r="Z19" i="11" s="1"/>
  <c r="Z20" i="11" a="1"/>
  <c r="Z20" i="11" s="1"/>
  <c r="Z21" i="11" a="1"/>
  <c r="Z21" i="11" s="1"/>
  <c r="Z22" i="11" a="1"/>
  <c r="Z22" i="11" s="1"/>
  <c r="Z23" i="11" a="1"/>
  <c r="Z23" i="11" s="1"/>
  <c r="Z24" i="11" a="1"/>
  <c r="Z24" i="11" s="1"/>
  <c r="Z25" i="11" a="1"/>
  <c r="Z25" i="11" s="1"/>
  <c r="Z26" i="11" a="1"/>
  <c r="Z26" i="11" s="1"/>
  <c r="Z27" i="11" a="1"/>
  <c r="Z27" i="11" s="1"/>
  <c r="Z28" i="11" a="1"/>
  <c r="Z28" i="11" s="1"/>
  <c r="Z15" i="11" a="1"/>
  <c r="Z15" i="11" s="1"/>
  <c r="Z16" i="11" a="1"/>
  <c r="Z16" i="11" s="1"/>
  <c r="T33" i="11" a="1"/>
  <c r="T33" i="11" s="1"/>
  <c r="T34" i="11" a="1"/>
  <c r="T34" i="11" s="1"/>
  <c r="T35" i="11" a="1"/>
  <c r="T35" i="11" s="1"/>
  <c r="T36" i="11" a="1"/>
  <c r="T36" i="11" s="1"/>
  <c r="T37" i="11" a="1"/>
  <c r="T37" i="11" s="1"/>
  <c r="T38" i="11" a="1"/>
  <c r="T38" i="11" s="1"/>
  <c r="T39" i="11" a="1"/>
  <c r="T39" i="11" s="1"/>
  <c r="T40" i="11" a="1"/>
  <c r="T40" i="11" s="1"/>
  <c r="T41" i="11" a="1"/>
  <c r="T41" i="11" s="1"/>
  <c r="T42" i="11" a="1"/>
  <c r="T42" i="11" s="1"/>
  <c r="T43" i="11" a="1"/>
  <c r="T43" i="11" s="1"/>
  <c r="T44" i="11" a="1"/>
  <c r="T44" i="11" s="1"/>
  <c r="T45" i="11" a="1"/>
  <c r="T45" i="11" s="1"/>
  <c r="T32" i="11" a="1"/>
  <c r="T32" i="11" s="1"/>
  <c r="U16" i="11" a="1"/>
  <c r="U16" i="11" s="1"/>
  <c r="U17" i="11" a="1"/>
  <c r="U17" i="11" s="1"/>
  <c r="U18" i="11" a="1"/>
  <c r="U18" i="11" s="1"/>
  <c r="U19" i="11" a="1"/>
  <c r="U19" i="11" s="1"/>
  <c r="U20" i="11" a="1"/>
  <c r="U20" i="11" s="1"/>
  <c r="U21" i="11" a="1"/>
  <c r="U21" i="11" s="1"/>
  <c r="U22" i="11" a="1"/>
  <c r="U22" i="11" s="1"/>
  <c r="U23" i="11" a="1"/>
  <c r="U23" i="11" s="1"/>
  <c r="U24" i="11" a="1"/>
  <c r="U24" i="11" s="1"/>
  <c r="U25" i="11" a="1"/>
  <c r="U25" i="11" s="1"/>
  <c r="U26" i="11" a="1"/>
  <c r="U26" i="11" s="1"/>
  <c r="U27" i="11" a="1"/>
  <c r="U27" i="11" s="1"/>
  <c r="U28" i="11" a="1"/>
  <c r="U28" i="11" s="1"/>
  <c r="U15" i="11" a="1"/>
  <c r="U15" i="11" s="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3" i="11"/>
  <c r="U9" i="11"/>
  <c r="Z9" i="11" s="1"/>
  <c r="U8" i="11"/>
  <c r="Z8" i="11" s="1"/>
  <c r="U7" i="11"/>
  <c r="U6" i="11"/>
  <c r="Z6" i="11" s="1"/>
  <c r="U3" i="11"/>
  <c r="Z3" i="11" s="1"/>
  <c r="U4" i="11"/>
  <c r="U5" i="11"/>
  <c r="T4" i="11"/>
  <c r="T5" i="11"/>
  <c r="T6" i="11"/>
  <c r="T7" i="11"/>
  <c r="T8" i="11"/>
  <c r="T9" i="11"/>
  <c r="K46" i="10"/>
  <c r="L46" i="10" s="1"/>
  <c r="K47" i="10"/>
  <c r="L47" i="10" s="1"/>
  <c r="K48" i="10"/>
  <c r="L48" i="10" s="1"/>
  <c r="K49" i="10"/>
  <c r="L49" i="10" s="1"/>
  <c r="K50" i="10"/>
  <c r="L50" i="10" s="1"/>
  <c r="K51" i="10"/>
  <c r="L51" i="10" s="1"/>
  <c r="K52" i="10"/>
  <c r="L52" i="10" s="1"/>
  <c r="K53" i="10"/>
  <c r="L53" i="10" s="1"/>
  <c r="K54" i="10"/>
  <c r="L54" i="10" s="1"/>
  <c r="K55" i="10"/>
  <c r="L55" i="10" s="1"/>
  <c r="K56" i="10"/>
  <c r="L56" i="10" s="1"/>
  <c r="K57" i="10"/>
  <c r="L57" i="10" s="1"/>
  <c r="K58" i="10"/>
  <c r="L58" i="10" s="1"/>
  <c r="K59" i="10"/>
  <c r="L59" i="10" s="1"/>
  <c r="K60" i="10"/>
  <c r="L60" i="10" s="1"/>
  <c r="K61" i="10"/>
  <c r="L61" i="10" s="1"/>
  <c r="K62" i="10"/>
  <c r="L62" i="10" s="1"/>
  <c r="K63" i="10"/>
  <c r="L63" i="10" s="1"/>
  <c r="K64" i="10"/>
  <c r="L64" i="10" s="1"/>
  <c r="K65" i="10"/>
  <c r="L65" i="10" s="1"/>
  <c r="K66" i="10"/>
  <c r="L66" i="10" s="1"/>
  <c r="K67" i="10"/>
  <c r="L67" i="10" s="1"/>
  <c r="K68" i="10"/>
  <c r="L68" i="10" s="1"/>
  <c r="K69" i="10"/>
  <c r="L69" i="10" s="1"/>
  <c r="K70" i="10"/>
  <c r="L70" i="10" s="1"/>
  <c r="K71" i="10"/>
  <c r="L71" i="10" s="1"/>
  <c r="K72" i="10"/>
  <c r="L72" i="10" s="1"/>
  <c r="K73" i="10"/>
  <c r="L73" i="10" s="1"/>
  <c r="K74" i="10"/>
  <c r="L74" i="10" s="1"/>
  <c r="K75" i="10"/>
  <c r="L75" i="10" s="1"/>
  <c r="K76" i="10"/>
  <c r="L76" i="10" s="1"/>
  <c r="K77" i="10"/>
  <c r="L77" i="10" s="1"/>
  <c r="K78" i="10"/>
  <c r="L78" i="10" s="1"/>
  <c r="K79" i="10"/>
  <c r="L79" i="10" s="1"/>
  <c r="K80" i="10"/>
  <c r="L80" i="10" s="1"/>
  <c r="K81" i="10"/>
  <c r="L81" i="10" s="1"/>
  <c r="K82" i="10"/>
  <c r="L82" i="10" s="1"/>
  <c r="K83" i="10"/>
  <c r="L83" i="10" s="1"/>
  <c r="K84" i="10"/>
  <c r="L84" i="10" s="1"/>
  <c r="K34" i="10"/>
  <c r="L34" i="10" s="1"/>
  <c r="K35" i="10"/>
  <c r="L35" i="10" s="1"/>
  <c r="K36" i="10"/>
  <c r="L36" i="10" s="1"/>
  <c r="K37" i="10"/>
  <c r="L37" i="10" s="1"/>
  <c r="K38" i="10"/>
  <c r="L38" i="10" s="1"/>
  <c r="K39" i="10"/>
  <c r="L39" i="10" s="1"/>
  <c r="K40" i="10"/>
  <c r="L40" i="10" s="1"/>
  <c r="K41" i="10"/>
  <c r="L41" i="10" s="1"/>
  <c r="K42" i="10"/>
  <c r="L42" i="10" s="1"/>
  <c r="K43" i="10"/>
  <c r="L43" i="10" s="1"/>
  <c r="K44" i="10"/>
  <c r="L44" i="10" s="1"/>
  <c r="K45" i="10"/>
  <c r="L45" i="10" s="1"/>
  <c r="K33" i="10"/>
  <c r="L33" i="10" s="1"/>
  <c r="H84" i="10"/>
  <c r="I84" i="10"/>
  <c r="J84" i="10"/>
  <c r="C84" i="10"/>
  <c r="D84" i="10"/>
  <c r="E84" i="10"/>
  <c r="F84" i="10"/>
  <c r="G84" i="10"/>
  <c r="B10" i="10"/>
  <c r="D9" i="10"/>
  <c r="D6" i="10"/>
  <c r="D5" i="10"/>
  <c r="D4" i="10"/>
  <c r="C22" i="34" l="1"/>
  <c r="E2" i="34"/>
  <c r="H22" i="34"/>
  <c r="J2" i="34"/>
  <c r="M22" i="34"/>
  <c r="O2" i="34"/>
  <c r="R22" i="34"/>
  <c r="T2" i="34"/>
  <c r="W22" i="34"/>
  <c r="Y2" i="34"/>
  <c r="AB22" i="34"/>
  <c r="AD2" i="34"/>
  <c r="AG22" i="34"/>
  <c r="AI2" i="34"/>
  <c r="C22" i="33"/>
  <c r="E2" i="33"/>
  <c r="H22" i="33"/>
  <c r="J2" i="33"/>
  <c r="M22" i="33"/>
  <c r="O2" i="33"/>
  <c r="R22" i="33"/>
  <c r="T2" i="33"/>
  <c r="W22" i="33"/>
  <c r="Y2" i="33"/>
  <c r="AB22" i="33"/>
  <c r="AD2" i="33"/>
  <c r="AG22" i="33"/>
  <c r="AI2" i="33"/>
  <c r="C22" i="32"/>
  <c r="E2" i="32"/>
  <c r="H22" i="32"/>
  <c r="J2" i="32"/>
  <c r="M22" i="32"/>
  <c r="O2" i="32"/>
  <c r="R22" i="32"/>
  <c r="T2" i="32"/>
  <c r="W22" i="32"/>
  <c r="Y2" i="32"/>
  <c r="AB22" i="32"/>
  <c r="AD2" i="32"/>
  <c r="AG22" i="32"/>
  <c r="AI2" i="32"/>
  <c r="C22" i="31"/>
  <c r="E2" i="31"/>
  <c r="H22" i="31"/>
  <c r="J2" i="31"/>
  <c r="M22" i="31"/>
  <c r="O2" i="31"/>
  <c r="R22" i="31"/>
  <c r="T2" i="31"/>
  <c r="W22" i="31"/>
  <c r="Y2" i="31"/>
  <c r="AB22" i="31"/>
  <c r="AD2" i="31"/>
  <c r="AG22" i="31"/>
  <c r="AI2" i="31"/>
  <c r="C22" i="30"/>
  <c r="E2" i="30"/>
  <c r="H22" i="30"/>
  <c r="J2" i="30"/>
  <c r="M22" i="30"/>
  <c r="O2" i="30"/>
  <c r="R22" i="30"/>
  <c r="T2" i="30"/>
  <c r="W22" i="30"/>
  <c r="Y2" i="30"/>
  <c r="AB22" i="30"/>
  <c r="AD2" i="30"/>
  <c r="AG22" i="30"/>
  <c r="AI2" i="30"/>
  <c r="C22" i="29"/>
  <c r="E2" i="29"/>
  <c r="H22" i="29"/>
  <c r="J2" i="29"/>
  <c r="M22" i="29"/>
  <c r="O2" i="29"/>
  <c r="R22" i="29"/>
  <c r="T2" i="29"/>
  <c r="W22" i="29"/>
  <c r="Y2" i="29"/>
  <c r="AB22" i="29"/>
  <c r="AD2" i="29"/>
  <c r="AG22" i="29"/>
  <c r="AI2" i="29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O2" i="20"/>
  <c r="M22" i="20"/>
  <c r="AO12" i="28"/>
  <c r="AO11" i="28"/>
  <c r="C22" i="26"/>
  <c r="E2" i="26"/>
  <c r="H22" i="26"/>
  <c r="J2" i="26"/>
  <c r="M22" i="26"/>
  <c r="O2" i="26"/>
  <c r="R22" i="26"/>
  <c r="T2" i="26"/>
  <c r="W22" i="26"/>
  <c r="Y2" i="26"/>
  <c r="AB22" i="26"/>
  <c r="AD2" i="26"/>
  <c r="AG22" i="26"/>
  <c r="AI2" i="26"/>
  <c r="AD2" i="20"/>
  <c r="AB22" i="20"/>
  <c r="AO9" i="20" s="1"/>
  <c r="C22" i="25"/>
  <c r="E2" i="25"/>
  <c r="H22" i="25"/>
  <c r="J2" i="25"/>
  <c r="M22" i="25"/>
  <c r="O2" i="25"/>
  <c r="R22" i="25"/>
  <c r="T2" i="25"/>
  <c r="W22" i="25"/>
  <c r="Y2" i="25"/>
  <c r="AB22" i="25"/>
  <c r="AD2" i="25"/>
  <c r="AG22" i="25"/>
  <c r="AI2" i="25"/>
  <c r="C22" i="24"/>
  <c r="E2" i="24"/>
  <c r="H22" i="24"/>
  <c r="J2" i="24"/>
  <c r="M22" i="24"/>
  <c r="O2" i="24"/>
  <c r="R22" i="24"/>
  <c r="T2" i="24"/>
  <c r="W22" i="24"/>
  <c r="Y2" i="24"/>
  <c r="AB22" i="24"/>
  <c r="AD2" i="24"/>
  <c r="AG22" i="24"/>
  <c r="AI2" i="24"/>
  <c r="C22" i="23"/>
  <c r="E2" i="23"/>
  <c r="H22" i="23"/>
  <c r="J2" i="23"/>
  <c r="M22" i="23"/>
  <c r="O2" i="23"/>
  <c r="R22" i="23"/>
  <c r="T2" i="23"/>
  <c r="W22" i="23"/>
  <c r="Y2" i="23"/>
  <c r="AB22" i="23"/>
  <c r="AD2" i="23"/>
  <c r="AG22" i="23"/>
  <c r="AI2" i="23"/>
  <c r="C22" i="22"/>
  <c r="E2" i="22"/>
  <c r="H22" i="22"/>
  <c r="J2" i="22"/>
  <c r="M22" i="22"/>
  <c r="O2" i="22"/>
  <c r="R22" i="22"/>
  <c r="T2" i="22"/>
  <c r="W22" i="22"/>
  <c r="Y2" i="22"/>
  <c r="AB22" i="22"/>
  <c r="AD2" i="22"/>
  <c r="AG22" i="22"/>
  <c r="AI2" i="22"/>
  <c r="AG22" i="20"/>
  <c r="AI22" i="20" s="1"/>
  <c r="AI2" i="20"/>
  <c r="W22" i="20"/>
  <c r="R22" i="20"/>
  <c r="T22" i="20" s="1"/>
  <c r="T2" i="20"/>
  <c r="AO6" i="20"/>
  <c r="O22" i="20"/>
  <c r="H22" i="20"/>
  <c r="J2" i="20"/>
  <c r="C22" i="20"/>
  <c r="E22" i="20" s="1"/>
  <c r="E2" i="20"/>
  <c r="T29" i="11"/>
  <c r="Y29" i="11"/>
  <c r="T46" i="11"/>
  <c r="E53" i="13"/>
  <c r="D53" i="13"/>
  <c r="U29" i="11"/>
  <c r="Z29" i="11"/>
  <c r="T10" i="11"/>
  <c r="U10" i="11"/>
  <c r="D10" i="10"/>
  <c r="AJ22" i="34" l="1"/>
  <c r="AI22" i="34"/>
  <c r="AO10" i="34"/>
  <c r="AD22" i="34"/>
  <c r="AO9" i="34"/>
  <c r="Y22" i="34"/>
  <c r="AO8" i="34"/>
  <c r="T22" i="34"/>
  <c r="AO7" i="34"/>
  <c r="O22" i="34"/>
  <c r="AO6" i="34"/>
  <c r="J22" i="34"/>
  <c r="AO5" i="34"/>
  <c r="AJ23" i="34"/>
  <c r="E22" i="34"/>
  <c r="AJ24" i="34" s="1"/>
  <c r="AO4" i="34"/>
  <c r="AJ22" i="33"/>
  <c r="AI22" i="33"/>
  <c r="AO10" i="33"/>
  <c r="AD22" i="33"/>
  <c r="AO9" i="33"/>
  <c r="Y22" i="33"/>
  <c r="AO8" i="33"/>
  <c r="T22" i="33"/>
  <c r="AO7" i="33"/>
  <c r="O22" i="33"/>
  <c r="AO6" i="33"/>
  <c r="J22" i="33"/>
  <c r="AO5" i="33"/>
  <c r="AJ23" i="33"/>
  <c r="E22" i="33"/>
  <c r="AO4" i="33"/>
  <c r="AJ22" i="32"/>
  <c r="AI22" i="32"/>
  <c r="AO10" i="32"/>
  <c r="AD22" i="32"/>
  <c r="AO9" i="32"/>
  <c r="Y22" i="32"/>
  <c r="AO8" i="32"/>
  <c r="T22" i="32"/>
  <c r="AO7" i="32"/>
  <c r="O22" i="32"/>
  <c r="AO6" i="32"/>
  <c r="J22" i="32"/>
  <c r="AO5" i="32"/>
  <c r="AJ23" i="32"/>
  <c r="E22" i="32"/>
  <c r="AO4" i="32"/>
  <c r="AD22" i="20"/>
  <c r="AJ22" i="31"/>
  <c r="AI22" i="31"/>
  <c r="AO10" i="31"/>
  <c r="AD22" i="31"/>
  <c r="AO9" i="31"/>
  <c r="Y22" i="31"/>
  <c r="AO8" i="31"/>
  <c r="T22" i="31"/>
  <c r="AO7" i="31"/>
  <c r="O22" i="31"/>
  <c r="AO6" i="31"/>
  <c r="J22" i="31"/>
  <c r="AO5" i="31"/>
  <c r="AJ23" i="31"/>
  <c r="E22" i="31"/>
  <c r="AO4" i="31"/>
  <c r="AJ22" i="30"/>
  <c r="AI22" i="30"/>
  <c r="AO10" i="30"/>
  <c r="AD22" i="30"/>
  <c r="AO9" i="30"/>
  <c r="Y22" i="30"/>
  <c r="AO8" i="30"/>
  <c r="T22" i="30"/>
  <c r="AO7" i="30"/>
  <c r="O22" i="30"/>
  <c r="AO6" i="30"/>
  <c r="J22" i="30"/>
  <c r="AO5" i="30"/>
  <c r="AJ23" i="30"/>
  <c r="E22" i="30"/>
  <c r="AO4" i="30"/>
  <c r="AJ22" i="29"/>
  <c r="AI22" i="29"/>
  <c r="AO10" i="29"/>
  <c r="AD22" i="29"/>
  <c r="AO9" i="29"/>
  <c r="Y22" i="29"/>
  <c r="AO8" i="29"/>
  <c r="T22" i="29"/>
  <c r="AO7" i="29"/>
  <c r="O22" i="29"/>
  <c r="AO6" i="29"/>
  <c r="J22" i="29"/>
  <c r="AO5" i="29"/>
  <c r="AJ23" i="29"/>
  <c r="E22" i="29"/>
  <c r="AO4" i="29"/>
  <c r="I22" i="22"/>
  <c r="J3" i="22"/>
  <c r="D22" i="22"/>
  <c r="E3" i="22"/>
  <c r="AO10" i="27"/>
  <c r="AO9" i="27"/>
  <c r="AO8" i="27"/>
  <c r="AO7" i="27"/>
  <c r="AO6" i="27"/>
  <c r="AO5" i="27"/>
  <c r="AO4" i="27"/>
  <c r="AJ22" i="26"/>
  <c r="AI22" i="26"/>
  <c r="AO10" i="26"/>
  <c r="AD22" i="26"/>
  <c r="AO9" i="26"/>
  <c r="Y22" i="26"/>
  <c r="AO8" i="26"/>
  <c r="T22" i="26"/>
  <c r="AO7" i="26"/>
  <c r="O22" i="26"/>
  <c r="AO6" i="26"/>
  <c r="J22" i="26"/>
  <c r="AO5" i="26"/>
  <c r="AJ23" i="26"/>
  <c r="E22" i="26"/>
  <c r="AO4" i="26"/>
  <c r="AJ22" i="25"/>
  <c r="AI22" i="25"/>
  <c r="AO10" i="25"/>
  <c r="AD22" i="25"/>
  <c r="AO9" i="25"/>
  <c r="Y22" i="25"/>
  <c r="AO8" i="25"/>
  <c r="T22" i="25"/>
  <c r="AO7" i="25"/>
  <c r="O22" i="25"/>
  <c r="AO6" i="25"/>
  <c r="J22" i="25"/>
  <c r="AO5" i="25"/>
  <c r="AJ23" i="25"/>
  <c r="E22" i="25"/>
  <c r="AO4" i="25"/>
  <c r="AJ22" i="24"/>
  <c r="AI22" i="24"/>
  <c r="AO10" i="24"/>
  <c r="AD22" i="24"/>
  <c r="AO9" i="24"/>
  <c r="Y22" i="24"/>
  <c r="AO8" i="24"/>
  <c r="T22" i="24"/>
  <c r="AO7" i="24"/>
  <c r="O22" i="24"/>
  <c r="AO6" i="24"/>
  <c r="J22" i="24"/>
  <c r="AO5" i="24"/>
  <c r="AJ23" i="24"/>
  <c r="E22" i="24"/>
  <c r="AO4" i="24"/>
  <c r="Z10" i="11"/>
  <c r="Z11" i="11"/>
  <c r="AO4" i="20"/>
  <c r="AJ22" i="20"/>
  <c r="AJ23" i="20"/>
  <c r="AO10" i="20"/>
  <c r="AJ22" i="23"/>
  <c r="AI22" i="23"/>
  <c r="AO10" i="23"/>
  <c r="AD22" i="23"/>
  <c r="AO9" i="23"/>
  <c r="Y22" i="23"/>
  <c r="AO8" i="23"/>
  <c r="T22" i="23"/>
  <c r="AO7" i="23"/>
  <c r="O22" i="23"/>
  <c r="AO6" i="23"/>
  <c r="J22" i="23"/>
  <c r="AO5" i="23"/>
  <c r="AJ23" i="23"/>
  <c r="E22" i="23"/>
  <c r="AO4" i="23"/>
  <c r="AJ22" i="22"/>
  <c r="AI22" i="22"/>
  <c r="AO10" i="22"/>
  <c r="AD22" i="22"/>
  <c r="AO9" i="22"/>
  <c r="Y22" i="22"/>
  <c r="AO8" i="22"/>
  <c r="T22" i="22"/>
  <c r="AO7" i="22"/>
  <c r="O22" i="22"/>
  <c r="AO6" i="22"/>
  <c r="J22" i="22"/>
  <c r="AO5" i="22"/>
  <c r="AJ23" i="22"/>
  <c r="E22" i="22"/>
  <c r="AO4" i="22"/>
  <c r="AO8" i="20"/>
  <c r="Y22" i="20"/>
  <c r="AO7" i="20"/>
  <c r="AO5" i="20"/>
  <c r="J22" i="20"/>
  <c r="AJ24" i="33" l="1"/>
  <c r="AO12" i="34"/>
  <c r="AO11" i="34"/>
  <c r="AJ24" i="32"/>
  <c r="AO12" i="33"/>
  <c r="AO11" i="33"/>
  <c r="AO12" i="32"/>
  <c r="AO11" i="32"/>
  <c r="AJ24" i="31"/>
  <c r="AJ24" i="29"/>
  <c r="AJ24" i="30"/>
  <c r="AO12" i="31"/>
  <c r="AO11" i="31"/>
  <c r="AO12" i="30"/>
  <c r="AO11" i="30"/>
  <c r="AO12" i="29"/>
  <c r="AO11" i="29"/>
  <c r="AJ24" i="26"/>
  <c r="AJ24" i="25"/>
  <c r="AO12" i="27"/>
  <c r="AO11" i="27"/>
  <c r="AO12" i="26"/>
  <c r="AO11" i="26"/>
  <c r="AJ24" i="24"/>
  <c r="AO12" i="25"/>
  <c r="AO11" i="25"/>
  <c r="AO12" i="24"/>
  <c r="AO11" i="24"/>
  <c r="AO12" i="20"/>
  <c r="AO11" i="20"/>
  <c r="AJ24" i="20"/>
  <c r="AJ24" i="22"/>
  <c r="AJ24" i="23"/>
  <c r="AO12" i="23"/>
  <c r="AO11" i="23"/>
  <c r="AO12" i="22"/>
  <c r="AO11" i="22"/>
  <c r="I9" i="13"/>
  <c r="J9" i="13"/>
  <c r="J14" i="13"/>
  <c r="I14" i="13"/>
  <c r="J16" i="13"/>
  <c r="I16" i="13"/>
  <c r="J5" i="13"/>
  <c r="I5" i="13"/>
  <c r="I12" i="13"/>
  <c r="J12" i="13"/>
  <c r="J10" i="13"/>
  <c r="I10" i="13"/>
  <c r="I13" i="13"/>
  <c r="J13" i="13"/>
  <c r="I15" i="13"/>
  <c r="J15" i="13"/>
  <c r="I17" i="13"/>
  <c r="J17" i="13"/>
  <c r="I7" i="13"/>
  <c r="J7" i="13"/>
  <c r="J6" i="13"/>
  <c r="I6" i="13"/>
  <c r="I8" i="13"/>
  <c r="J8" i="13"/>
  <c r="I18" i="13"/>
  <c r="I4" i="13"/>
  <c r="J4" i="13"/>
  <c r="J18" i="13"/>
  <c r="I11" i="13"/>
  <c r="J11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<sst xmlns="http://schemas.openxmlformats.org/spreadsheetml/2006/main" count="11729" uniqueCount="1862">
  <si>
    <t>DEVICE SELECTION</t>
  </si>
  <si>
    <t>COUNT</t>
  </si>
  <si>
    <t>Column1</t>
  </si>
  <si>
    <t>TOTAL COUNT</t>
  </si>
  <si>
    <t>UTENSIL HOLDER</t>
  </si>
  <si>
    <t>*3</t>
  </si>
  <si>
    <t>PALM PEN HOLDER</t>
  </si>
  <si>
    <t>TOOTH BRUSH HOLDER</t>
  </si>
  <si>
    <t>BUTTON AID</t>
  </si>
  <si>
    <t>READING BAR</t>
  </si>
  <si>
    <t>*2</t>
  </si>
  <si>
    <t>ASSISTIVE PENCIL GRIP</t>
  </si>
  <si>
    <t>LOW PROFILE SWITCH</t>
  </si>
  <si>
    <t>TOTAL</t>
  </si>
  <si>
    <t xml:space="preserve">District wise Distribution </t>
  </si>
  <si>
    <t>DISTRICT</t>
  </si>
  <si>
    <t>Assistive Pencil Grip</t>
  </si>
  <si>
    <t>READING BAR - CURVED</t>
  </si>
  <si>
    <t>TOOTH BRUSH ADAPTER</t>
  </si>
  <si>
    <t>GRAND TOTAL</t>
  </si>
  <si>
    <t>ALAPPUZHA</t>
  </si>
  <si>
    <t>ERNAKULAM</t>
  </si>
  <si>
    <t>IDUKKI</t>
  </si>
  <si>
    <t>KANNUR</t>
  </si>
  <si>
    <t>KAZARGOD</t>
  </si>
  <si>
    <t>KOLLAM</t>
  </si>
  <si>
    <t>KOTTAYAM</t>
  </si>
  <si>
    <t>KOZHIKODE</t>
  </si>
  <si>
    <t>MALAPPURAM</t>
  </si>
  <si>
    <t>PALAKKAD</t>
  </si>
  <si>
    <t>PATHANAMTHITTA</t>
  </si>
  <si>
    <t>THRISSUR</t>
  </si>
  <si>
    <t>TRIVANDRUM</t>
  </si>
  <si>
    <t>WAYANAD</t>
  </si>
  <si>
    <t>Grand Total</t>
  </si>
  <si>
    <t>BUDS SCHOOL</t>
  </si>
  <si>
    <t>STUDENT COUNT</t>
  </si>
  <si>
    <t>DEVICE COUNT</t>
  </si>
  <si>
    <t>DC-LPS</t>
  </si>
  <si>
    <t>ADARSH SCHOOL</t>
  </si>
  <si>
    <t>AGALI BUDS</t>
  </si>
  <si>
    <t>ANTHIKKAD BLOCK PANCHAYATH BUDS</t>
  </si>
  <si>
    <t>ARDRABUDS SCHOOL CHERTHALA</t>
  </si>
  <si>
    <t>BODHINI BUDS SCHOOL</t>
  </si>
  <si>
    <t>BUD SCHOOL ELOOR</t>
  </si>
  <si>
    <t>BUDS PARADISE SPECIAL SCHOOL THRISSILERY</t>
  </si>
  <si>
    <t>BUDS REHABILITATION CENTRE AKATHETHARA</t>
  </si>
  <si>
    <t>BUDS REHABILITATION CENTRE PUZHAKATRI</t>
  </si>
  <si>
    <t>BUDS REHABILITATION NAYATHODE</t>
  </si>
  <si>
    <t>BUDS SCHOOL ALANGAD</t>
  </si>
  <si>
    <t>BUDS SCHOOL CHEMMARUTHY</t>
  </si>
  <si>
    <t>BUDS SCHOOL EDAVANAKADU</t>
  </si>
  <si>
    <t>BUDS SCHOOL ITTIVA</t>
  </si>
  <si>
    <t>BUDS SCHOOL KOOVAPADY</t>
  </si>
  <si>
    <t>BUDS SCHOOL KUMBLANGI</t>
  </si>
  <si>
    <t>BUDS SCHOOL MALAYALAPPUZHA</t>
  </si>
  <si>
    <t>BUDS SCHOOL NARANAMMOOZHY</t>
  </si>
  <si>
    <t>BUDS SCHOOL PAIPRA</t>
  </si>
  <si>
    <t>BUDS SCHOOL PALLARIMANGALAM</t>
  </si>
  <si>
    <t>BUDS SCHOOL PARAKKADAVU</t>
  </si>
  <si>
    <t>BUDS SCHOOL POOVACHAL</t>
  </si>
  <si>
    <t>BUDS SPECIAL SCHOOL ELAMPALLOOR</t>
  </si>
  <si>
    <t>BUDS SPECIAL SCHOOL MANGADA</t>
  </si>
  <si>
    <t>BUDS SPECIAL SCHOOL MAVOOR KOZHIKODE</t>
  </si>
  <si>
    <t>BUDS SPECIAL SCHOOL MAYYANAD</t>
  </si>
  <si>
    <t>BUDS SPECIAL SCHOOL SOORANAD SOUTH</t>
  </si>
  <si>
    <t>ELAKAMON GRAMAPANCHAYATH BUDS SCHOOL</t>
  </si>
  <si>
    <t>KADAKKAL GRAMAPANCHAYATH BUDS SCHOOL AND REHABILITATION CENTER</t>
  </si>
  <si>
    <t>KULATHUPPUZHA GRAMAPANCHAYATH BUDS SCHOOL</t>
  </si>
  <si>
    <t>KUMILY BUDS</t>
  </si>
  <si>
    <t>MAHATHMA BUDS SCHOOL CHALINGAL PERIYA</t>
  </si>
  <si>
    <t>MAHATHMAJI BUDS SCHOOL VILAPPILSALA</t>
  </si>
  <si>
    <t>MANOVIKASKENDRA BUDS SCHOOL KAPIL</t>
  </si>
  <si>
    <t>MARARI BUDS SPECIAL SCHOOL</t>
  </si>
  <si>
    <t>NAGARASABHA BUDS SPECIAL SCHOOL THALASSERY</t>
  </si>
  <si>
    <t>NAVAJYOTHI BUDS SCHOOL IDUKI</t>
  </si>
  <si>
    <t>NAVAJYOTHI BUDS SCHOOL PALLICHAL</t>
  </si>
  <si>
    <t>NEDUMANGAD MUNCIPALITY BUDS SCHOOL</t>
  </si>
  <si>
    <t>NEEHARAM BUDS SCHOOL ELAVALLY</t>
  </si>
  <si>
    <t>PERINAD BUDS SCHOOL</t>
  </si>
  <si>
    <t>PRATHEEKSHA BUDS SCHOOL PUNALUR</t>
  </si>
  <si>
    <t>PURATHUR BUDS</t>
  </si>
  <si>
    <t>SANJOE SADAN SPECIAL SCHOOL THURAVOOR</t>
  </si>
  <si>
    <t>SANTHWANAM BUDS SCHOOL CHIRAYINKEEZHU</t>
  </si>
  <si>
    <t>SNEHA BUDS SPECIAL SCHOOL</t>
  </si>
  <si>
    <t>SNEHASPARSHAM BRC CLAPPANA</t>
  </si>
  <si>
    <t>SPECTRUM BUDS SCHOOL</t>
  </si>
  <si>
    <t>STAR BUDS SCHOOL MARANALLOOR</t>
  </si>
  <si>
    <t>THALOLAM BUDS SCHOOL PUNNAPRA NORTH</t>
  </si>
  <si>
    <t>THRIKKODITHANAM BUDS SPECIAL SCHOOL</t>
  </si>
  <si>
    <t xml:space="preserve">COUNT </t>
  </si>
  <si>
    <t>STUDENT_ID</t>
  </si>
  <si>
    <t>STUDENT NAME</t>
  </si>
  <si>
    <t>DISABILITY</t>
  </si>
  <si>
    <t>LENGTH</t>
  </si>
  <si>
    <t>WIDTH</t>
  </si>
  <si>
    <t>SIZE1</t>
  </si>
  <si>
    <t>SIZE2</t>
  </si>
  <si>
    <t>SIZE3</t>
  </si>
  <si>
    <t>PREFERENCE</t>
  </si>
  <si>
    <t>EKM-001-001</t>
  </si>
  <si>
    <t>Adithyan Manoj</t>
  </si>
  <si>
    <t>CP</t>
  </si>
  <si>
    <t>EKM-001-002</t>
  </si>
  <si>
    <t>Athen</t>
  </si>
  <si>
    <t>autism</t>
  </si>
  <si>
    <t>5.26cm</t>
  </si>
  <si>
    <t>2.37cm</t>
  </si>
  <si>
    <t>ND-08</t>
  </si>
  <si>
    <t>ND-03</t>
  </si>
  <si>
    <t>ND-07</t>
  </si>
  <si>
    <t>Palm Pen Holder</t>
  </si>
  <si>
    <t>EKM-001-003</t>
  </si>
  <si>
    <t>Athmik S Krishna</t>
  </si>
  <si>
    <t>4.95 cm</t>
  </si>
  <si>
    <t>1.97 cm</t>
  </si>
  <si>
    <t>ND-01</t>
  </si>
  <si>
    <t>Utensil Holder</t>
  </si>
  <si>
    <t>EKM-001-004</t>
  </si>
  <si>
    <t>Ishan Krishna</t>
  </si>
  <si>
    <t>4.98 cm</t>
  </si>
  <si>
    <t>2.17 cm</t>
  </si>
  <si>
    <t>Button Aid</t>
  </si>
  <si>
    <t>EKM-001-005</t>
  </si>
  <si>
    <t>Kevin Shaji</t>
  </si>
  <si>
    <t>CP/ID</t>
  </si>
  <si>
    <t>EKM-001-006</t>
  </si>
  <si>
    <t>Sidharth</t>
  </si>
  <si>
    <t>6.35 cm</t>
  </si>
  <si>
    <t>2.34 cm</t>
  </si>
  <si>
    <t>ND-05</t>
  </si>
  <si>
    <t>EKM-001-007</t>
  </si>
  <si>
    <t>Sreeparvathy</t>
  </si>
  <si>
    <t>6.67cm</t>
  </si>
  <si>
    <t>2.35cm</t>
  </si>
  <si>
    <t>ND-10</t>
  </si>
  <si>
    <t>ND-14</t>
  </si>
  <si>
    <t>EKM-001-008</t>
  </si>
  <si>
    <t>Vibin K Babu</t>
  </si>
  <si>
    <t>7.84 cm</t>
  </si>
  <si>
    <t>2.92 cm</t>
  </si>
  <si>
    <t>PAL-001-001</t>
  </si>
  <si>
    <t>Anbu</t>
  </si>
  <si>
    <t>ID</t>
  </si>
  <si>
    <t>4.25 cm</t>
  </si>
  <si>
    <t>2.15cm</t>
  </si>
  <si>
    <t>PAL-001-002</t>
  </si>
  <si>
    <t>Mallieswaran</t>
  </si>
  <si>
    <t>7.02cm</t>
  </si>
  <si>
    <t>2.88cm</t>
  </si>
  <si>
    <t>ND-11</t>
  </si>
  <si>
    <t>PAL-001-003</t>
  </si>
  <si>
    <t>Manikandan</t>
  </si>
  <si>
    <t>PAL-001-005</t>
  </si>
  <si>
    <t>Oviya</t>
  </si>
  <si>
    <t>4.59cm</t>
  </si>
  <si>
    <t>1.75cm</t>
  </si>
  <si>
    <t>TSR-001-001</t>
  </si>
  <si>
    <t>Abhinandh</t>
  </si>
  <si>
    <t>MR</t>
  </si>
  <si>
    <t>6.38 cm</t>
  </si>
  <si>
    <t>2.36 cm</t>
  </si>
  <si>
    <t>TOOTH  BRUSH ADAPTER</t>
  </si>
  <si>
    <t>TSR-001-002</t>
  </si>
  <si>
    <t>Adithya K</t>
  </si>
  <si>
    <t>TSR-001-003</t>
  </si>
  <si>
    <t>Asha Thomas</t>
  </si>
  <si>
    <t>6.54 cm</t>
  </si>
  <si>
    <t>1.93 cm</t>
  </si>
  <si>
    <t>TSR-001-004</t>
  </si>
  <si>
    <t>Dilsha</t>
  </si>
  <si>
    <t>6.31 cm</t>
  </si>
  <si>
    <t>2.09 cm</t>
  </si>
  <si>
    <t>TSR-001-005</t>
  </si>
  <si>
    <t>Hanan O A</t>
  </si>
  <si>
    <t>TSR-001-006</t>
  </si>
  <si>
    <t>Neeranjana</t>
  </si>
  <si>
    <t>CP/MR</t>
  </si>
  <si>
    <t>5.64 cm</t>
  </si>
  <si>
    <t>2.04 cm</t>
  </si>
  <si>
    <t>TSR-001-007</t>
  </si>
  <si>
    <t>Pavithra A P</t>
  </si>
  <si>
    <t>TSR-001-008</t>
  </si>
  <si>
    <t>Sheham</t>
  </si>
  <si>
    <t>7.67 cm</t>
  </si>
  <si>
    <t>2.35 cm</t>
  </si>
  <si>
    <t>RB-01</t>
  </si>
  <si>
    <t>RB-02</t>
  </si>
  <si>
    <t>Reading Bar - Curved</t>
  </si>
  <si>
    <t>TSR-001-009</t>
  </si>
  <si>
    <t>Shiva Krishna</t>
  </si>
  <si>
    <t>MR/Down syndrome</t>
  </si>
  <si>
    <t>ALP-001-002</t>
  </si>
  <si>
    <t>ANATHAKRISHNAN V M</t>
  </si>
  <si>
    <t>AUTISM SEVER</t>
  </si>
  <si>
    <t>ARDRA BUDS SCHOOL CHERTHALA</t>
  </si>
  <si>
    <t>8 cm</t>
  </si>
  <si>
    <t>2.59 cm</t>
  </si>
  <si>
    <t>ND-15</t>
  </si>
  <si>
    <t>ND-19</t>
  </si>
  <si>
    <t>ND-16</t>
  </si>
  <si>
    <t>ALP-001-004</t>
  </si>
  <si>
    <t>DIYA C DELIP</t>
  </si>
  <si>
    <t>AUTISM</t>
  </si>
  <si>
    <t>2.6 cm</t>
  </si>
  <si>
    <t>ALP-001-005</t>
  </si>
  <si>
    <t>JOYAL PAULOSE</t>
  </si>
  <si>
    <t>6.58 cm</t>
  </si>
  <si>
    <t>2.24 cm</t>
  </si>
  <si>
    <t>ALP-001-006</t>
  </si>
  <si>
    <t>MAHADEEV P V</t>
  </si>
  <si>
    <t>7.5 cm</t>
  </si>
  <si>
    <t>2.8 cm</t>
  </si>
  <si>
    <t>ALP-001-007</t>
  </si>
  <si>
    <t>NERANJANA LAL</t>
  </si>
  <si>
    <t>4.83 cm</t>
  </si>
  <si>
    <t>1.69 cm</t>
  </si>
  <si>
    <t>ND-01 </t>
  </si>
  <si>
    <t>ND-03 </t>
  </si>
  <si>
    <t>ND-07 </t>
  </si>
  <si>
    <t>ALP-001-009</t>
  </si>
  <si>
    <t>SACHIN</t>
  </si>
  <si>
    <t>7 cm</t>
  </si>
  <si>
    <t>2 cm</t>
  </si>
  <si>
    <t>KLM-001-001</t>
  </si>
  <si>
    <t>Abhijith</t>
  </si>
  <si>
    <t>Intellectual Disability</t>
  </si>
  <si>
    <t>8.56cm</t>
  </si>
  <si>
    <t>2.47cm</t>
  </si>
  <si>
    <t>KLM-001-002</t>
  </si>
  <si>
    <t>Ashwin Krishnan</t>
  </si>
  <si>
    <t>Autistic Spectrum Disorder</t>
  </si>
  <si>
    <t>6.16cm</t>
  </si>
  <si>
    <t>2.54cm</t>
  </si>
  <si>
    <t>KLM-001-005</t>
  </si>
  <si>
    <t>Hrishikesh Aravind</t>
  </si>
  <si>
    <t>6.94cm</t>
  </si>
  <si>
    <t>2.73cm</t>
  </si>
  <si>
    <t>KLM-001-006</t>
  </si>
  <si>
    <t>Janika M P</t>
  </si>
  <si>
    <t>7.08cm</t>
  </si>
  <si>
    <t>2.98cm</t>
  </si>
  <si>
    <t>KLM-001-007</t>
  </si>
  <si>
    <t>Muhamad Alfin</t>
  </si>
  <si>
    <t>7.48cm</t>
  </si>
  <si>
    <t>KLM-001-008</t>
  </si>
  <si>
    <t>Muhammed Ihan</t>
  </si>
  <si>
    <t>Intellectual disability</t>
  </si>
  <si>
    <t>6.78 cm</t>
  </si>
  <si>
    <t>2.83 cm</t>
  </si>
  <si>
    <t>ND-09</t>
  </si>
  <si>
    <t>ND-13</t>
  </si>
  <si>
    <t>KLM-001-009</t>
  </si>
  <si>
    <t>Muhammed Thameem</t>
  </si>
  <si>
    <t>6.23cm</t>
  </si>
  <si>
    <t>KLM-001-010</t>
  </si>
  <si>
    <t>Nithan</t>
  </si>
  <si>
    <t>6.32cm</t>
  </si>
  <si>
    <t>2.65cm</t>
  </si>
  <si>
    <t>KLM-001-011</t>
  </si>
  <si>
    <t>Prajapati R</t>
  </si>
  <si>
    <t>KLM-001-012</t>
  </si>
  <si>
    <t>Rubeena</t>
  </si>
  <si>
    <t>5.89cm</t>
  </si>
  <si>
    <t>2.43cm</t>
  </si>
  <si>
    <t>KLM-001-013</t>
  </si>
  <si>
    <t>Sanjay Rajesh</t>
  </si>
  <si>
    <t>7.52cm</t>
  </si>
  <si>
    <t>3.08cm</t>
  </si>
  <si>
    <t>KLM-001-014</t>
  </si>
  <si>
    <t>Suhail S Jaffir</t>
  </si>
  <si>
    <t>Autistic Spectrum Disorder,MR</t>
  </si>
  <si>
    <t>7.68cm</t>
  </si>
  <si>
    <t>2.67cm</t>
  </si>
  <si>
    <t>KLM-001-015</t>
  </si>
  <si>
    <t>Thejas Praveen</t>
  </si>
  <si>
    <t>Cerebral Palsy</t>
  </si>
  <si>
    <t>5.98cm</t>
  </si>
  <si>
    <t>KLM-001-016</t>
  </si>
  <si>
    <t>Umarul Farook</t>
  </si>
  <si>
    <t>7.63cm</t>
  </si>
  <si>
    <t>KLM-001-017</t>
  </si>
  <si>
    <t>Vinayak S</t>
  </si>
  <si>
    <t>6.72cm</t>
  </si>
  <si>
    <t>2.53cm</t>
  </si>
  <si>
    <t>EKM-010-001</t>
  </si>
  <si>
    <t>Ann liya</t>
  </si>
  <si>
    <t>CP &amp; MR</t>
  </si>
  <si>
    <t>6.65 cm</t>
  </si>
  <si>
    <t>2.41 cm</t>
  </si>
  <si>
    <t>WYN-001-001</t>
  </si>
  <si>
    <t>Akshita</t>
  </si>
  <si>
    <t>2.2 cm</t>
  </si>
  <si>
    <t>Utensil holder</t>
  </si>
  <si>
    <t>WYN-001-002</t>
  </si>
  <si>
    <t>Anusha</t>
  </si>
  <si>
    <t>7.8 cm</t>
  </si>
  <si>
    <t>3.0 cm</t>
  </si>
  <si>
    <t>Palm pen holder</t>
  </si>
  <si>
    <t>WYN-001-003</t>
  </si>
  <si>
    <t>Aswin</t>
  </si>
  <si>
    <t>MD</t>
  </si>
  <si>
    <t>8.8 cm</t>
  </si>
  <si>
    <t>3.1 cm</t>
  </si>
  <si>
    <t>Assistive pencil grip</t>
  </si>
  <si>
    <t>WYN-001-004</t>
  </si>
  <si>
    <t>Devi</t>
  </si>
  <si>
    <t>2.5 cm</t>
  </si>
  <si>
    <t>WYN-001-005</t>
  </si>
  <si>
    <t>Haridra</t>
  </si>
  <si>
    <t>6.8 cm</t>
  </si>
  <si>
    <t>WYN-001-006</t>
  </si>
  <si>
    <t>Hridwinlal</t>
  </si>
  <si>
    <t>9.2 cm</t>
  </si>
  <si>
    <t>3.2 cm</t>
  </si>
  <si>
    <t>ND-18</t>
  </si>
  <si>
    <t>WYN-001-009</t>
  </si>
  <si>
    <t>Nandakumar</t>
  </si>
  <si>
    <t>7.6 cm</t>
  </si>
  <si>
    <t>PAL-002-001</t>
  </si>
  <si>
    <t>AISWARYA</t>
  </si>
  <si>
    <t>Button aid</t>
  </si>
  <si>
    <t>PAL-002-002</t>
  </si>
  <si>
    <t>CHANDRIKA</t>
  </si>
  <si>
    <t>1.9 cm</t>
  </si>
  <si>
    <t>PAL-002-003</t>
  </si>
  <si>
    <t>DEEPA</t>
  </si>
  <si>
    <t>PAL-002-004</t>
  </si>
  <si>
    <t>PAVITHRA</t>
  </si>
  <si>
    <t>2.0 cm</t>
  </si>
  <si>
    <t>PAL-002-005</t>
  </si>
  <si>
    <t>VIGNESH</t>
  </si>
  <si>
    <t>CPMR</t>
  </si>
  <si>
    <t>1.8 cm</t>
  </si>
  <si>
    <t>PAL-002-006</t>
  </si>
  <si>
    <t>VIJAYAKUMAR</t>
  </si>
  <si>
    <t>8.0 cm</t>
  </si>
  <si>
    <t>1.7 cm</t>
  </si>
  <si>
    <t>PAL-002-007</t>
  </si>
  <si>
    <t>VINEESH</t>
  </si>
  <si>
    <t>9.0 cm</t>
  </si>
  <si>
    <t>2.1 cm</t>
  </si>
  <si>
    <t>PAL-002-008</t>
  </si>
  <si>
    <t>VYSAKH</t>
  </si>
  <si>
    <t>7.0 cm</t>
  </si>
  <si>
    <t>PAL-002-009</t>
  </si>
  <si>
    <t>YAZIR MANAF</t>
  </si>
  <si>
    <t>10.0 cm</t>
  </si>
  <si>
    <t>MLP-002-001</t>
  </si>
  <si>
    <t>ARUN P</t>
  </si>
  <si>
    <t>10.5cm</t>
  </si>
  <si>
    <t>1.9cm</t>
  </si>
  <si>
    <t>MLP-002-002</t>
  </si>
  <si>
    <t>AYAS M</t>
  </si>
  <si>
    <t>7cm</t>
  </si>
  <si>
    <t>1.7cm</t>
  </si>
  <si>
    <t>MLP-002-003</t>
  </si>
  <si>
    <t>IRFAN M</t>
  </si>
  <si>
    <t>11cm</t>
  </si>
  <si>
    <t>2.4cm</t>
  </si>
  <si>
    <t>MLP-002-004</t>
  </si>
  <si>
    <t>IRFANA NAZRIN</t>
  </si>
  <si>
    <t>9cm</t>
  </si>
  <si>
    <t>2.3cm</t>
  </si>
  <si>
    <t>MLP-002-005</t>
  </si>
  <si>
    <t>MOHAMMED FADI</t>
  </si>
  <si>
    <t>autisum</t>
  </si>
  <si>
    <t>8cm</t>
  </si>
  <si>
    <t>1.8cm</t>
  </si>
  <si>
    <t>MLP-002-006</t>
  </si>
  <si>
    <t>MUHAMMED ASLAM</t>
  </si>
  <si>
    <t>2.1cm</t>
  </si>
  <si>
    <t>MLP-002-007</t>
  </si>
  <si>
    <t>SAINUL ABID</t>
  </si>
  <si>
    <t>2.8cm</t>
  </si>
  <si>
    <t>MLP-002-008</t>
  </si>
  <si>
    <t>SHINAD P</t>
  </si>
  <si>
    <t>12cm</t>
  </si>
  <si>
    <t>MLP-002-009</t>
  </si>
  <si>
    <t>YASEEN ASHRAF</t>
  </si>
  <si>
    <t>EKM-006-002</t>
  </si>
  <si>
    <t>Juvana</t>
  </si>
  <si>
    <t>Autism</t>
  </si>
  <si>
    <t>6.64 cm</t>
  </si>
  <si>
    <t>2.45 cm</t>
  </si>
  <si>
    <t>EKM-007-001</t>
  </si>
  <si>
    <t>Lijo</t>
  </si>
  <si>
    <t>6.85 cm</t>
  </si>
  <si>
    <t>EKM-007-002</t>
  </si>
  <si>
    <t>Nihal</t>
  </si>
  <si>
    <t>cp</t>
  </si>
  <si>
    <t>6.52 cm</t>
  </si>
  <si>
    <t>TVM-001-004</t>
  </si>
  <si>
    <t>Chithu J</t>
  </si>
  <si>
    <t>TVM-001-006</t>
  </si>
  <si>
    <t>Gayathri L P</t>
  </si>
  <si>
    <t>6.91cm</t>
  </si>
  <si>
    <t>2.85cm</t>
  </si>
  <si>
    <t>TVM-001-007</t>
  </si>
  <si>
    <t>Rahul R</t>
  </si>
  <si>
    <t>TVM-001-009</t>
  </si>
  <si>
    <t>Shabareesh S D</t>
  </si>
  <si>
    <t>Down syndrome</t>
  </si>
  <si>
    <t>TVM-001-010</t>
  </si>
  <si>
    <t>Shyam Kumar</t>
  </si>
  <si>
    <t>EKM-002-001</t>
  </si>
  <si>
    <t>Arun Raj C R</t>
  </si>
  <si>
    <t>BUD SCHOOL EDAVANAKADU</t>
  </si>
  <si>
    <t>6.9 cm</t>
  </si>
  <si>
    <t>EKM-002-002</t>
  </si>
  <si>
    <t>shivanad</t>
  </si>
  <si>
    <t>5.44 cm</t>
  </si>
  <si>
    <t>2.43 cm</t>
  </si>
  <si>
    <t>KLM-002-001</t>
  </si>
  <si>
    <t>Adhityan A S</t>
  </si>
  <si>
    <t>ADHD</t>
  </si>
  <si>
    <t>6.35cm</t>
  </si>
  <si>
    <t>2.06cm</t>
  </si>
  <si>
    <t>KLM-002-003</t>
  </si>
  <si>
    <t>Aswin Alex</t>
  </si>
  <si>
    <t>7.57cm</t>
  </si>
  <si>
    <t>2.58cm</t>
  </si>
  <si>
    <t>KLM-002-004</t>
  </si>
  <si>
    <t>Maya</t>
  </si>
  <si>
    <t>5.77cm</t>
  </si>
  <si>
    <t>2.03cm</t>
  </si>
  <si>
    <t>KLM-002-005</t>
  </si>
  <si>
    <t>Shabarinath S S</t>
  </si>
  <si>
    <t>6.08cm</t>
  </si>
  <si>
    <t>2.17cm</t>
  </si>
  <si>
    <t>EKM-009-001</t>
  </si>
  <si>
    <t>Abin Benny</t>
  </si>
  <si>
    <t>EKM-009-002</t>
  </si>
  <si>
    <t>Abith George</t>
  </si>
  <si>
    <t>EKM-009-004</t>
  </si>
  <si>
    <t>Aryan S Nair</t>
  </si>
  <si>
    <t>Hyper active</t>
  </si>
  <si>
    <t>BUD SCHOOL KOOVAPADY</t>
  </si>
  <si>
    <t>5.52 cm</t>
  </si>
  <si>
    <t>EKM-008-001</t>
  </si>
  <si>
    <t>Akinesh cg</t>
  </si>
  <si>
    <t>cp&amp;mr</t>
  </si>
  <si>
    <t>5.8 cm</t>
  </si>
  <si>
    <t>ND-06</t>
  </si>
  <si>
    <t>EKM-008-002</t>
  </si>
  <si>
    <t>Athul</t>
  </si>
  <si>
    <t>6.51 cm</t>
  </si>
  <si>
    <t>2.14 cm</t>
  </si>
  <si>
    <t>PTT-001-001</t>
  </si>
  <si>
    <t>Aadhinath A</t>
  </si>
  <si>
    <t>PTT-001-002</t>
  </si>
  <si>
    <t>Abel Thomas</t>
  </si>
  <si>
    <t>6.46cm</t>
  </si>
  <si>
    <t>PTT-001-003</t>
  </si>
  <si>
    <t>Adarsh Rajeev</t>
  </si>
  <si>
    <t>7.23cm</t>
  </si>
  <si>
    <t>2.64cm</t>
  </si>
  <si>
    <t>PTT-001-004</t>
  </si>
  <si>
    <t>Aiswarya Prasad</t>
  </si>
  <si>
    <t>PTT-001-005</t>
  </si>
  <si>
    <t>Ameya Susan Aloi</t>
  </si>
  <si>
    <t>PTT-001-006</t>
  </si>
  <si>
    <t>Anulekshmi H</t>
  </si>
  <si>
    <t>PTT-001-007</t>
  </si>
  <si>
    <t>Aparna B Nair</t>
  </si>
  <si>
    <t>PTT-001-008</t>
  </si>
  <si>
    <t>Benet</t>
  </si>
  <si>
    <t>PTT-001-009</t>
  </si>
  <si>
    <t>Bibin S</t>
  </si>
  <si>
    <t>PTT-001-010</t>
  </si>
  <si>
    <t>Bibin S Baiju</t>
  </si>
  <si>
    <t>PTT-001-011</t>
  </si>
  <si>
    <t>Binu P</t>
  </si>
  <si>
    <t>PTT-001-012</t>
  </si>
  <si>
    <t>Jeron Jo</t>
  </si>
  <si>
    <t>Intellectual Disability(90%)</t>
  </si>
  <si>
    <t>6.33cm</t>
  </si>
  <si>
    <t>PTT-001-013</t>
  </si>
  <si>
    <t>Jobina Shyju</t>
  </si>
  <si>
    <t>7.19cm</t>
  </si>
  <si>
    <t>PTT-001-015</t>
  </si>
  <si>
    <t>Lino Thomas</t>
  </si>
  <si>
    <t>MR, Downsyndrome</t>
  </si>
  <si>
    <t>PTT-001-016</t>
  </si>
  <si>
    <t>Nadil Noushad</t>
  </si>
  <si>
    <t>PTT-001-017</t>
  </si>
  <si>
    <t>Nanadana V</t>
  </si>
  <si>
    <t>PTT-001-018</t>
  </si>
  <si>
    <t>Niyas R</t>
  </si>
  <si>
    <t>MR( severe)</t>
  </si>
  <si>
    <t>7.25cm</t>
  </si>
  <si>
    <t>2.66cm</t>
  </si>
  <si>
    <t>PTT-001-019</t>
  </si>
  <si>
    <t>P K Vaishak</t>
  </si>
  <si>
    <t>PTT-001-020</t>
  </si>
  <si>
    <t>Rahul A</t>
  </si>
  <si>
    <t>PTT-001-021</t>
  </si>
  <si>
    <t>Salvin S</t>
  </si>
  <si>
    <t>5.82cm</t>
  </si>
  <si>
    <t>2.13cm</t>
  </si>
  <si>
    <t>PTT-001-022</t>
  </si>
  <si>
    <t>Shilpa J Sam</t>
  </si>
  <si>
    <t>PTT-001-023</t>
  </si>
  <si>
    <t>Swetha Benoy</t>
  </si>
  <si>
    <t>Autistic Spectrum Disorder Multiple disorders</t>
  </si>
  <si>
    <t>PTT-001-024</t>
  </si>
  <si>
    <t>Vidhyambika</t>
  </si>
  <si>
    <t>PTT-002-001</t>
  </si>
  <si>
    <t>Aaromal Rajesh</t>
  </si>
  <si>
    <t>Orthopaedics, Conginital anomaly in both hands</t>
  </si>
  <si>
    <t>PTT-002-002</t>
  </si>
  <si>
    <t>Architha Vinosh Kumar</t>
  </si>
  <si>
    <t>6.02cm</t>
  </si>
  <si>
    <t>2.18cm</t>
  </si>
  <si>
    <t>PTT-002-003</t>
  </si>
  <si>
    <t>Bintu Mon B</t>
  </si>
  <si>
    <t>Intellectual disability, Hearing impairment</t>
  </si>
  <si>
    <t>7.49cm</t>
  </si>
  <si>
    <t>PTT-002-004</t>
  </si>
  <si>
    <t>Rajeev Rajan</t>
  </si>
  <si>
    <t>7.36cm</t>
  </si>
  <si>
    <t>2.75cm</t>
  </si>
  <si>
    <t>EKM-003-001</t>
  </si>
  <si>
    <t>Anwar Sajith K A</t>
  </si>
  <si>
    <t>BUD SCHOOL PAIPRA</t>
  </si>
  <si>
    <t>EKM-003-002</t>
  </si>
  <si>
    <t>Badusha T K</t>
  </si>
  <si>
    <t>EKM-003-003</t>
  </si>
  <si>
    <t>Basila K Abas</t>
  </si>
  <si>
    <t>6.01 cm</t>
  </si>
  <si>
    <t>2.49 cm</t>
  </si>
  <si>
    <t>EKM-003-004</t>
  </si>
  <si>
    <t>Hajira jamaludeen</t>
  </si>
  <si>
    <t>5.1 cm</t>
  </si>
  <si>
    <t>EKM-003-005</t>
  </si>
  <si>
    <t>Nazim K Abas</t>
  </si>
  <si>
    <t>6.59 cm</t>
  </si>
  <si>
    <t>2.47 cm</t>
  </si>
  <si>
    <t>EKM-003-006</t>
  </si>
  <si>
    <t>Shifana Ibharim</t>
  </si>
  <si>
    <t>6.7 cm</t>
  </si>
  <si>
    <t>EKM-003-007</t>
  </si>
  <si>
    <t>Teenu Thomas</t>
  </si>
  <si>
    <t>EKM-004-003</t>
  </si>
  <si>
    <t>Asif haneefa</t>
  </si>
  <si>
    <t>BUD SCHOOL PALLARIMANGALAM</t>
  </si>
  <si>
    <t>EKM-004-004</t>
  </si>
  <si>
    <t>Edgar</t>
  </si>
  <si>
    <t>6.66 cm</t>
  </si>
  <si>
    <t>EKM-004-006</t>
  </si>
  <si>
    <t>Fazila K A</t>
  </si>
  <si>
    <t>EKM-004-007</t>
  </si>
  <si>
    <t>Godson</t>
  </si>
  <si>
    <t>5.72 cm</t>
  </si>
  <si>
    <t>2.05 cm</t>
  </si>
  <si>
    <t>EKM-004-008</t>
  </si>
  <si>
    <t>Nandu sinu</t>
  </si>
  <si>
    <t>5.85 cm</t>
  </si>
  <si>
    <t>EKM-004-010</t>
  </si>
  <si>
    <t>Suresh</t>
  </si>
  <si>
    <t>EKM-004-011</t>
  </si>
  <si>
    <t>Uniikrishanan</t>
  </si>
  <si>
    <t>EKM-005-001</t>
  </si>
  <si>
    <t>Sreya Sunil</t>
  </si>
  <si>
    <t>2.08 cm</t>
  </si>
  <si>
    <t>TVM-002-001</t>
  </si>
  <si>
    <t>Abhijith B</t>
  </si>
  <si>
    <t>7.82cm</t>
  </si>
  <si>
    <t>3.21cm</t>
  </si>
  <si>
    <t>TVM-002-003</t>
  </si>
  <si>
    <t>Abina A S</t>
  </si>
  <si>
    <t>Intellectual Disability (70%)</t>
  </si>
  <si>
    <t>4.2cm</t>
  </si>
  <si>
    <t>1.2cm</t>
  </si>
  <si>
    <t>TVM-002-005</t>
  </si>
  <si>
    <t>Alan R</t>
  </si>
  <si>
    <t>Autism,ID-70%</t>
  </si>
  <si>
    <t>6 cm</t>
  </si>
  <si>
    <t>1.5 cm</t>
  </si>
  <si>
    <t>TVM-002-006</t>
  </si>
  <si>
    <t>Alan V</t>
  </si>
  <si>
    <t>Intellectual Disability (75%)</t>
  </si>
  <si>
    <t>TVM-002-008</t>
  </si>
  <si>
    <t>Alona S Ajith</t>
  </si>
  <si>
    <t>Autistic Spectrum Disorder(90%)</t>
  </si>
  <si>
    <t>1.5cm</t>
  </si>
  <si>
    <t>TVM-002-013</t>
  </si>
  <si>
    <t>Anees B S</t>
  </si>
  <si>
    <t>7.81cm</t>
  </si>
  <si>
    <t>2.77cm</t>
  </si>
  <si>
    <t>TVM-002-014</t>
  </si>
  <si>
    <t>Aromal T</t>
  </si>
  <si>
    <t>7.65cm</t>
  </si>
  <si>
    <t>3.23cm</t>
  </si>
  <si>
    <t>TVM-002-015</t>
  </si>
  <si>
    <t>Hina Fathima</t>
  </si>
  <si>
    <t>Intellectual disability, Multiple disability-85%</t>
  </si>
  <si>
    <t>6.7cm</t>
  </si>
  <si>
    <t>2cm</t>
  </si>
  <si>
    <t>TVM-002-016</t>
  </si>
  <si>
    <t>Kasinadh V M</t>
  </si>
  <si>
    <t>Intellectual Disability (50%)</t>
  </si>
  <si>
    <t>TVM-002-017</t>
  </si>
  <si>
    <t>Navaneeth R S</t>
  </si>
  <si>
    <t>Intellectual Disability 45%</t>
  </si>
  <si>
    <t>TVM-002-018</t>
  </si>
  <si>
    <t>Nayana R S</t>
  </si>
  <si>
    <t>Intellectual Disability-60%</t>
  </si>
  <si>
    <t>TVM-002-020</t>
  </si>
  <si>
    <t>Nikhil S S</t>
  </si>
  <si>
    <t>Hearing Impaired-71%</t>
  </si>
  <si>
    <t>TVM-002-021</t>
  </si>
  <si>
    <t>Parvathy S H</t>
  </si>
  <si>
    <t>Intellectual Disability (90%)</t>
  </si>
  <si>
    <t>4.5cm</t>
  </si>
  <si>
    <t>TVM-002-023</t>
  </si>
  <si>
    <t>Sudha</t>
  </si>
  <si>
    <t>7.22cm</t>
  </si>
  <si>
    <t>3.12cm</t>
  </si>
  <si>
    <t>KLM-003-006</t>
  </si>
  <si>
    <t>Gautham B</t>
  </si>
  <si>
    <t>KLM-003-002</t>
  </si>
  <si>
    <t>Ananthakrishnan A</t>
  </si>
  <si>
    <t>6.07cm</t>
  </si>
  <si>
    <t>2.48cm</t>
  </si>
  <si>
    <t>KLM-003-004</t>
  </si>
  <si>
    <t>Arun K</t>
  </si>
  <si>
    <t>Intellectual disability with hyper activity</t>
  </si>
  <si>
    <t>7.27cm</t>
  </si>
  <si>
    <t>2.14cm</t>
  </si>
  <si>
    <t>KLM-003-005</t>
  </si>
  <si>
    <t>Bharat Kumar S</t>
  </si>
  <si>
    <t>Intellectual disability ,Behavioural problem</t>
  </si>
  <si>
    <t>7.97cm</t>
  </si>
  <si>
    <t>2.82cm</t>
  </si>
  <si>
    <t>ND-20</t>
  </si>
  <si>
    <t>KLM-003-001</t>
  </si>
  <si>
    <t>Abeil Anit Panickar</t>
  </si>
  <si>
    <t>7.55cm</t>
  </si>
  <si>
    <t>3.32cm</t>
  </si>
  <si>
    <t>KLM-003-003</t>
  </si>
  <si>
    <t>Anzil Rahman</t>
  </si>
  <si>
    <t>6.05cm</t>
  </si>
  <si>
    <t>2.59cm</t>
  </si>
  <si>
    <t>KLM-003-007</t>
  </si>
  <si>
    <t>Shebin S</t>
  </si>
  <si>
    <t>6.97cm</t>
  </si>
  <si>
    <t>MLP-003-001</t>
  </si>
  <si>
    <t>ALI AKBAR</t>
  </si>
  <si>
    <t>MLP-003-002</t>
  </si>
  <si>
    <t>ARJUN PM</t>
  </si>
  <si>
    <t>3cm</t>
  </si>
  <si>
    <t>MLP-003-003</t>
  </si>
  <si>
    <t>ASNA KP</t>
  </si>
  <si>
    <t>10cm</t>
  </si>
  <si>
    <t>MLP-003-004</t>
  </si>
  <si>
    <t>ASWATHI PK</t>
  </si>
  <si>
    <t>MLP-003-005</t>
  </si>
  <si>
    <t>AYAN P</t>
  </si>
  <si>
    <t>8.5cm</t>
  </si>
  <si>
    <t>MLP-003-006</t>
  </si>
  <si>
    <t>DILNA N</t>
  </si>
  <si>
    <t>MLP-003-007</t>
  </si>
  <si>
    <t>MOHAMMED SIYAD</t>
  </si>
  <si>
    <t>2.5cm</t>
  </si>
  <si>
    <t>MLP-003-009</t>
  </si>
  <si>
    <t>NAZIM ASSAN</t>
  </si>
  <si>
    <t>MLP-003-011</t>
  </si>
  <si>
    <t>RIYHAN ALI</t>
  </si>
  <si>
    <t>MLP-003-013</t>
  </si>
  <si>
    <t>THOLHATH</t>
  </si>
  <si>
    <t>KZD-001-001</t>
  </si>
  <si>
    <t>Abhinand K</t>
  </si>
  <si>
    <t>8.2 cm</t>
  </si>
  <si>
    <t>KZD-001-002</t>
  </si>
  <si>
    <t>Ahammed anas</t>
  </si>
  <si>
    <t>KZD-001-003</t>
  </si>
  <si>
    <t>Akshay KT</t>
  </si>
  <si>
    <t>ID Autism</t>
  </si>
  <si>
    <t>2.4 cm</t>
  </si>
  <si>
    <t>KZD-001-007</t>
  </si>
  <si>
    <t>Shahina KP</t>
  </si>
  <si>
    <t>5.5 cm</t>
  </si>
  <si>
    <t>KZD-001-009</t>
  </si>
  <si>
    <t>Shijin P</t>
  </si>
  <si>
    <t>KLM-004-001</t>
  </si>
  <si>
    <t>Adhil Muhammed S</t>
  </si>
  <si>
    <t>5.05cm</t>
  </si>
  <si>
    <t>2.02cm</t>
  </si>
  <si>
    <t>KLM-004-002</t>
  </si>
  <si>
    <t>Ameya J</t>
  </si>
  <si>
    <t>KLM-004-004</t>
  </si>
  <si>
    <t>Anushmitha C</t>
  </si>
  <si>
    <t>4.92cm</t>
  </si>
  <si>
    <t>1.86cm</t>
  </si>
  <si>
    <t>KLM-004-005</t>
  </si>
  <si>
    <t>Arpitha Preenu</t>
  </si>
  <si>
    <t>DownSyndrome</t>
  </si>
  <si>
    <t>KLM-004-006</t>
  </si>
  <si>
    <t>Asiya N Sidhik</t>
  </si>
  <si>
    <t>KLM-004-007</t>
  </si>
  <si>
    <t>Athira S</t>
  </si>
  <si>
    <t>KLM-004-008</t>
  </si>
  <si>
    <t>Devadarsh R</t>
  </si>
  <si>
    <t>7.02 cm</t>
  </si>
  <si>
    <t>KLM-004-009</t>
  </si>
  <si>
    <t>Ebin Robinson</t>
  </si>
  <si>
    <t>KLM-004-010</t>
  </si>
  <si>
    <t>Faizan Noufal</t>
  </si>
  <si>
    <t>5.57cm</t>
  </si>
  <si>
    <t>2.08cm</t>
  </si>
  <si>
    <t>KLM-004-011</t>
  </si>
  <si>
    <t>Fathima Shafeek</t>
  </si>
  <si>
    <t>Downsyndrome</t>
  </si>
  <si>
    <t>KLM-004-014</t>
  </si>
  <si>
    <t>Muhammad Aslam</t>
  </si>
  <si>
    <t>6.82cm</t>
  </si>
  <si>
    <t>KLM-004-015</t>
  </si>
  <si>
    <t>Muhammed Raihan</t>
  </si>
  <si>
    <t>2.12cm</t>
  </si>
  <si>
    <t>KLM-004-016</t>
  </si>
  <si>
    <t>Niranjana R</t>
  </si>
  <si>
    <t>KLM-004-017</t>
  </si>
  <si>
    <t>Nivedya S</t>
  </si>
  <si>
    <t>2.87cm</t>
  </si>
  <si>
    <t>KLM-004-018</t>
  </si>
  <si>
    <t>Rimsha Rafi</t>
  </si>
  <si>
    <t>KLM-004-019</t>
  </si>
  <si>
    <t>Salman J</t>
  </si>
  <si>
    <t>KLM-004-020</t>
  </si>
  <si>
    <t>Sharath J</t>
  </si>
  <si>
    <t>Intellectual Disability (60%)</t>
  </si>
  <si>
    <t>8.12cm</t>
  </si>
  <si>
    <t>3.13cm</t>
  </si>
  <si>
    <t>KLM-004-022</t>
  </si>
  <si>
    <t>Vighnesh Brahma S</t>
  </si>
  <si>
    <t>Spastic Cerebral Palsy</t>
  </si>
  <si>
    <t>6.71cm</t>
  </si>
  <si>
    <t>KLM-005-001</t>
  </si>
  <si>
    <t>Aadityan</t>
  </si>
  <si>
    <t>KLM-005-002</t>
  </si>
  <si>
    <t>Ajanya Ajan</t>
  </si>
  <si>
    <t>Chromosomal defect</t>
  </si>
  <si>
    <t>6.2cm</t>
  </si>
  <si>
    <t>KLM-005-003</t>
  </si>
  <si>
    <t>Akhil Krishnan</t>
  </si>
  <si>
    <t>KLM-005-005</t>
  </si>
  <si>
    <t>Aslam A S</t>
  </si>
  <si>
    <t>9.92cm</t>
  </si>
  <si>
    <t>3.48cm</t>
  </si>
  <si>
    <t>KLM-005-006</t>
  </si>
  <si>
    <t>Fathima</t>
  </si>
  <si>
    <t>Downsyndrome, ID</t>
  </si>
  <si>
    <t>KLM-005-007</t>
  </si>
  <si>
    <t>Joice Joye</t>
  </si>
  <si>
    <t>7.43cm</t>
  </si>
  <si>
    <t>2.51cm</t>
  </si>
  <si>
    <t>TVM-006-001</t>
  </si>
  <si>
    <t>Adityan Sunil</t>
  </si>
  <si>
    <t>TVM-006-002</t>
  </si>
  <si>
    <t>Archana Sunil</t>
  </si>
  <si>
    <t>TVM-006-004</t>
  </si>
  <si>
    <t>Bhadra Hari</t>
  </si>
  <si>
    <t>6.74cm</t>
  </si>
  <si>
    <t>TVM-006-006</t>
  </si>
  <si>
    <t>Muhammed Niyas</t>
  </si>
  <si>
    <t>7.96cm</t>
  </si>
  <si>
    <t>3.18cm</t>
  </si>
  <si>
    <t>TVM-006-009</t>
  </si>
  <si>
    <t>Subin B S</t>
  </si>
  <si>
    <t>5.83cm</t>
  </si>
  <si>
    <t>TVM-006-010</t>
  </si>
  <si>
    <t>Vidya B</t>
  </si>
  <si>
    <t>KLM-006-006</t>
  </si>
  <si>
    <t>Archit C Dev</t>
  </si>
  <si>
    <t>KLM-006-009</t>
  </si>
  <si>
    <t>Aysha Mehrin</t>
  </si>
  <si>
    <t>Intellectual Disabilty</t>
  </si>
  <si>
    <t>KLM-006-010</t>
  </si>
  <si>
    <t>Kailas Nath</t>
  </si>
  <si>
    <t>KLM-006-013</t>
  </si>
  <si>
    <t>Meenu S</t>
  </si>
  <si>
    <t>KLM-006-004</t>
  </si>
  <si>
    <t>Amal Krishna</t>
  </si>
  <si>
    <t>KLM-006-015</t>
  </si>
  <si>
    <t>Muhammed Riswan</t>
  </si>
  <si>
    <t>6.37cm</t>
  </si>
  <si>
    <t>KLM-006-018</t>
  </si>
  <si>
    <t>Nithin S</t>
  </si>
  <si>
    <t>KLM-006-019</t>
  </si>
  <si>
    <t>Nivan S</t>
  </si>
  <si>
    <t>KLM-006-020</t>
  </si>
  <si>
    <t>Pranav Raj</t>
  </si>
  <si>
    <t>KLM-006-025</t>
  </si>
  <si>
    <t>Thouheed H S</t>
  </si>
  <si>
    <t>KLM-006-008</t>
  </si>
  <si>
    <t>Asna Fathima</t>
  </si>
  <si>
    <t>KLM-006-012</t>
  </si>
  <si>
    <t>Libina Fathima</t>
  </si>
  <si>
    <t>KLM-006-014</t>
  </si>
  <si>
    <t>Muhamed Irfan</t>
  </si>
  <si>
    <t>KLM-006-027</t>
  </si>
  <si>
    <t>Vaishnav M</t>
  </si>
  <si>
    <t>2.78cm</t>
  </si>
  <si>
    <t>KLM-006-003</t>
  </si>
  <si>
    <t>Adhithi</t>
  </si>
  <si>
    <t>5.73cm</t>
  </si>
  <si>
    <t>2.49cm</t>
  </si>
  <si>
    <t>KLM-006-002</t>
  </si>
  <si>
    <t>Abin Raj</t>
  </si>
  <si>
    <t>6.25cm</t>
  </si>
  <si>
    <t>2.23cm</t>
  </si>
  <si>
    <t>KLM-006-017</t>
  </si>
  <si>
    <t>Nikhil G</t>
  </si>
  <si>
    <t>3.07cm</t>
  </si>
  <si>
    <t>KLM-006-026</t>
  </si>
  <si>
    <t>Vaishnav Abhilash</t>
  </si>
  <si>
    <t>Hearing Impaired</t>
  </si>
  <si>
    <t>6.52cm</t>
  </si>
  <si>
    <t>KLM-007-003</t>
  </si>
  <si>
    <t>Alfina Rafi</t>
  </si>
  <si>
    <t>7.05cm</t>
  </si>
  <si>
    <t>KLM-007-007</t>
  </si>
  <si>
    <t>Preetha O</t>
  </si>
  <si>
    <t>KLM-007-002</t>
  </si>
  <si>
    <t>Albin Shinu</t>
  </si>
  <si>
    <t>KLM-007-006</t>
  </si>
  <si>
    <t>Gauri Priya</t>
  </si>
  <si>
    <t>6.99cm</t>
  </si>
  <si>
    <t>2.52cm</t>
  </si>
  <si>
    <t>KLM-007-001</t>
  </si>
  <si>
    <t>Abhirami S R</t>
  </si>
  <si>
    <t>6.14cm</t>
  </si>
  <si>
    <t>3.1cm</t>
  </si>
  <si>
    <t>KLM-007-004</t>
  </si>
  <si>
    <t>Athira A</t>
  </si>
  <si>
    <t>6.16 cm</t>
  </si>
  <si>
    <t>2.75 cm</t>
  </si>
  <si>
    <t>KLM-007-005</t>
  </si>
  <si>
    <t>Athul Raj</t>
  </si>
  <si>
    <t>Muscular Distrophy</t>
  </si>
  <si>
    <t>6.79cm</t>
  </si>
  <si>
    <t>2.83cm</t>
  </si>
  <si>
    <t>KLM-007-008</t>
  </si>
  <si>
    <t>Tony P George</t>
  </si>
  <si>
    <t>3.04cm</t>
  </si>
  <si>
    <t>ND-12</t>
  </si>
  <si>
    <t>IDK-001-003</t>
  </si>
  <si>
    <t>Gincy James</t>
  </si>
  <si>
    <t>IDK-001-004</t>
  </si>
  <si>
    <t>Rafia Rasheed</t>
  </si>
  <si>
    <t>IDK-001-005</t>
  </si>
  <si>
    <t>Shiyas K S</t>
  </si>
  <si>
    <t>IDK-001-006</t>
  </si>
  <si>
    <t>Soji K Soman</t>
  </si>
  <si>
    <t>KZG-001-001</t>
  </si>
  <si>
    <t>Abdulla shamil</t>
  </si>
  <si>
    <t>KZG-001-002</t>
  </si>
  <si>
    <t>Akshay</t>
  </si>
  <si>
    <t>KZG-001-003</t>
  </si>
  <si>
    <t>Amarnath</t>
  </si>
  <si>
    <t>10 cm</t>
  </si>
  <si>
    <t>KZG-001-004</t>
  </si>
  <si>
    <t>Anirudh krishnan</t>
  </si>
  <si>
    <t>KZG-001-005</t>
  </si>
  <si>
    <t>Arjun</t>
  </si>
  <si>
    <t>KZG-001-006</t>
  </si>
  <si>
    <t>multiple disability</t>
  </si>
  <si>
    <t>KZG-001-007</t>
  </si>
  <si>
    <t>Hemanth</t>
  </si>
  <si>
    <t>9 cm</t>
  </si>
  <si>
    <t>KZG-001-008</t>
  </si>
  <si>
    <t>Nishal Purushothaman</t>
  </si>
  <si>
    <t>6cm</t>
  </si>
  <si>
    <t>KZG-001-009</t>
  </si>
  <si>
    <t>Sadiq shibil</t>
  </si>
  <si>
    <t>KZG-001-010</t>
  </si>
  <si>
    <t>Sayanth</t>
  </si>
  <si>
    <t>1.6cm</t>
  </si>
  <si>
    <t>KZG-001-011</t>
  </si>
  <si>
    <t>Shikha</t>
  </si>
  <si>
    <t>KZG-001-012</t>
  </si>
  <si>
    <t>Vaiga</t>
  </si>
  <si>
    <t>TVM-003-001</t>
  </si>
  <si>
    <t>Abhinaya</t>
  </si>
  <si>
    <t>Intellectual Disability (mild)</t>
  </si>
  <si>
    <t>TVM-003-002</t>
  </si>
  <si>
    <t>Anand</t>
  </si>
  <si>
    <t>Intellectual disability( Severe)</t>
  </si>
  <si>
    <t>7.3 cm</t>
  </si>
  <si>
    <t>TVM-003-003</t>
  </si>
  <si>
    <t>Avanikha P S</t>
  </si>
  <si>
    <t>4.5 cm</t>
  </si>
  <si>
    <t>TVM-003-004</t>
  </si>
  <si>
    <t>Hafeez Khan</t>
  </si>
  <si>
    <t>5 cm</t>
  </si>
  <si>
    <t>TVM-003-005</t>
  </si>
  <si>
    <t>Kalyani</t>
  </si>
  <si>
    <t>5cm</t>
  </si>
  <si>
    <t>TVM-003-006</t>
  </si>
  <si>
    <t>Karthika</t>
  </si>
  <si>
    <t>TVM-003-007</t>
  </si>
  <si>
    <t>Priyesh Chandran</t>
  </si>
  <si>
    <t>Intellectual Disability (severe)</t>
  </si>
  <si>
    <t>3.34cm</t>
  </si>
  <si>
    <t>TVM-003-008</t>
  </si>
  <si>
    <t>Sandeep S R</t>
  </si>
  <si>
    <t>Intellectual Disability(moderate)</t>
  </si>
  <si>
    <t>7.5cm</t>
  </si>
  <si>
    <t>ALP-002-001</t>
  </si>
  <si>
    <t>ABIRAM</t>
  </si>
  <si>
    <t>AUTISM (multiple disability)</t>
  </si>
  <si>
    <t>ALP-002-002</t>
  </si>
  <si>
    <t>AFIF MUHAMMAD</t>
  </si>
  <si>
    <t>AUTISM ( MULTIPLE DASBILITY)</t>
  </si>
  <si>
    <t>ALP-002-003</t>
  </si>
  <si>
    <t>ARJUN RENJITH</t>
  </si>
  <si>
    <t>ALP-002-004</t>
  </si>
  <si>
    <t>AVYAYA.V</t>
  </si>
  <si>
    <t>6.6 cm</t>
  </si>
  <si>
    <t>ALP-002-006</t>
  </si>
  <si>
    <t>SHARANYA.P</t>
  </si>
  <si>
    <t>7.06 cm</t>
  </si>
  <si>
    <t>2.93 cm</t>
  </si>
  <si>
    <t>ALP-003-002</t>
  </si>
  <si>
    <t>NIKHILA CHANDRAN</t>
  </si>
  <si>
    <t>AUTISM &amp; INTELLECTUAL DISABILITY</t>
  </si>
  <si>
    <t>KNR-001-001</t>
  </si>
  <si>
    <t>adithyan</t>
  </si>
  <si>
    <t>KNR-001-003</t>
  </si>
  <si>
    <t>anjana</t>
  </si>
  <si>
    <t>KNR-001-004</t>
  </si>
  <si>
    <t>archana</t>
  </si>
  <si>
    <t>KNR-001-005</t>
  </si>
  <si>
    <t>avanthika</t>
  </si>
  <si>
    <t>6.5 cm</t>
  </si>
  <si>
    <t>KNR-001-007</t>
  </si>
  <si>
    <t>ranith</t>
  </si>
  <si>
    <t>2.3 cm</t>
  </si>
  <si>
    <t>KNR-001-008</t>
  </si>
  <si>
    <t>ridha</t>
  </si>
  <si>
    <t>KNR-001-009</t>
  </si>
  <si>
    <t>riswanth</t>
  </si>
  <si>
    <t>3.5 cm</t>
  </si>
  <si>
    <t>KNR-001-011</t>
  </si>
  <si>
    <t>vignesh</t>
  </si>
  <si>
    <t>IDK-002-001</t>
  </si>
  <si>
    <t>Afsal P R</t>
  </si>
  <si>
    <t>NAVAJYOTHI BUDS SCHOOL IDUKKI</t>
  </si>
  <si>
    <t>6.25 cm</t>
  </si>
  <si>
    <t>2.07 cm</t>
  </si>
  <si>
    <t>IDK-002-004</t>
  </si>
  <si>
    <t>DMD</t>
  </si>
  <si>
    <t>IDK-002-007</t>
  </si>
  <si>
    <t>Sanjo Jose</t>
  </si>
  <si>
    <t>2.16 cm</t>
  </si>
  <si>
    <t>IDK-002-008</t>
  </si>
  <si>
    <t>Suryadathan Benny</t>
  </si>
  <si>
    <t>6.26 cm</t>
  </si>
  <si>
    <t>2.25 cm</t>
  </si>
  <si>
    <t>TVM-004-005</t>
  </si>
  <si>
    <t>Nandana N</t>
  </si>
  <si>
    <t>NAVJYOTHI BUDS SCHOOL PALLICHAL</t>
  </si>
  <si>
    <t>TVM-004-006</t>
  </si>
  <si>
    <t>Vivek Kumar</t>
  </si>
  <si>
    <t>TVM-005-003</t>
  </si>
  <si>
    <t>Arjun Gireesh</t>
  </si>
  <si>
    <t>6.93cm</t>
  </si>
  <si>
    <t>TVM-005-004</t>
  </si>
  <si>
    <t>Devapriyan G R</t>
  </si>
  <si>
    <t>7.53cm</t>
  </si>
  <si>
    <t>TVM-005-006</t>
  </si>
  <si>
    <t>Neefa Shajir</t>
  </si>
  <si>
    <t>2.62cm</t>
  </si>
  <si>
    <t>TVM-005-005</t>
  </si>
  <si>
    <t>Jishnu JH</t>
  </si>
  <si>
    <t>TVM-005-007</t>
  </si>
  <si>
    <t>Niranjan R Nair</t>
  </si>
  <si>
    <t>TVM-005-008</t>
  </si>
  <si>
    <t>Rashid D</t>
  </si>
  <si>
    <t>Intellectual disability (75%)</t>
  </si>
  <si>
    <t>7.84cm</t>
  </si>
  <si>
    <t>TVM-005-010</t>
  </si>
  <si>
    <t>Sreehari S</t>
  </si>
  <si>
    <t>Intellectual disability(75%)</t>
  </si>
  <si>
    <t>2.68cm</t>
  </si>
  <si>
    <t>TSR-002-001</t>
  </si>
  <si>
    <t>Adwik P S</t>
  </si>
  <si>
    <t>5.34 cm</t>
  </si>
  <si>
    <t>TSR-002-002</t>
  </si>
  <si>
    <t>Ammar Bin Shabeer</t>
  </si>
  <si>
    <t>TSR-002-005</t>
  </si>
  <si>
    <t>Fathima M S</t>
  </si>
  <si>
    <t>5.53 cm</t>
  </si>
  <si>
    <t>TSR-002-007</t>
  </si>
  <si>
    <t>Helna C Joshy</t>
  </si>
  <si>
    <t>5.23 cm</t>
  </si>
  <si>
    <t>2.02 cm</t>
  </si>
  <si>
    <t>TSR-002-009</t>
  </si>
  <si>
    <t>Nivan P F</t>
  </si>
  <si>
    <t>5.455 cm</t>
  </si>
  <si>
    <t>2.53 cm</t>
  </si>
  <si>
    <t>KLM-008-001</t>
  </si>
  <si>
    <t>Abina Suresh</t>
  </si>
  <si>
    <t>6.69cm</t>
  </si>
  <si>
    <t>2.34cm</t>
  </si>
  <si>
    <t>KLM-008-002</t>
  </si>
  <si>
    <t>Aditya Maheshwaran A</t>
  </si>
  <si>
    <t>KLM-008-003</t>
  </si>
  <si>
    <t>Emmanual Stanly</t>
  </si>
  <si>
    <t>6.55cm</t>
  </si>
  <si>
    <t>2.29cm</t>
  </si>
  <si>
    <t>KLM-008-004</t>
  </si>
  <si>
    <t>Gaurav Krishna</t>
  </si>
  <si>
    <t>8.59cm</t>
  </si>
  <si>
    <t>KLM-008-005</t>
  </si>
  <si>
    <t>Keerthana Shine A</t>
  </si>
  <si>
    <t>Intellectual Disability (80%)</t>
  </si>
  <si>
    <t>KLM-008-006</t>
  </si>
  <si>
    <t>Muhammed Aflah K S</t>
  </si>
  <si>
    <t>8.17cm</t>
  </si>
  <si>
    <t>KLM-008-008</t>
  </si>
  <si>
    <t>Muhammed Zameen</t>
  </si>
  <si>
    <t>Loss of Cervical Lordosis</t>
  </si>
  <si>
    <t>6.96cm</t>
  </si>
  <si>
    <t>KLM-008-009</t>
  </si>
  <si>
    <t>6.26cm</t>
  </si>
  <si>
    <t>2.22cm</t>
  </si>
  <si>
    <t>KLM-008-010</t>
  </si>
  <si>
    <t>Nebin Saju</t>
  </si>
  <si>
    <t>7.18cm</t>
  </si>
  <si>
    <t>2.71cm</t>
  </si>
  <si>
    <t>KLM-008-011</t>
  </si>
  <si>
    <t>Sreelakshmi B A</t>
  </si>
  <si>
    <t>6.68cm</t>
  </si>
  <si>
    <t>KLM-008-012</t>
  </si>
  <si>
    <t>Sreelekshmi AS</t>
  </si>
  <si>
    <t>7.24cm</t>
  </si>
  <si>
    <t>3.15cm</t>
  </si>
  <si>
    <t>KLM-009-001</t>
  </si>
  <si>
    <t>Abhijith T</t>
  </si>
  <si>
    <t>7.95cm</t>
  </si>
  <si>
    <t>2.72cm</t>
  </si>
  <si>
    <t>KLM-009-002</t>
  </si>
  <si>
    <t>Abhimanyu R</t>
  </si>
  <si>
    <t>Locomotor Disability</t>
  </si>
  <si>
    <t>KLM-009-004</t>
  </si>
  <si>
    <t>Kripa Mol</t>
  </si>
  <si>
    <t>6.19cm</t>
  </si>
  <si>
    <t>MLP-004-002</t>
  </si>
  <si>
    <t>AJEEB k</t>
  </si>
  <si>
    <t>MLP-004-005</t>
  </si>
  <si>
    <t>KARTHIK k</t>
  </si>
  <si>
    <t>MLP-004-006</t>
  </si>
  <si>
    <t>KISHOR PP</t>
  </si>
  <si>
    <t>MLP-004-008</t>
  </si>
  <si>
    <t>RAMZAN PP</t>
  </si>
  <si>
    <t>9.5cm</t>
  </si>
  <si>
    <t>MLP-004-009</t>
  </si>
  <si>
    <t>SREERAG</t>
  </si>
  <si>
    <t>MLP-004-011</t>
  </si>
  <si>
    <t>THEJAS KRISHNA</t>
  </si>
  <si>
    <t>ALP-004-001</t>
  </si>
  <si>
    <t>Almeena Fathima</t>
  </si>
  <si>
    <t>ALP-004-002</t>
  </si>
  <si>
    <t>Alphia Fathima</t>
  </si>
  <si>
    <t>ALP-004-003</t>
  </si>
  <si>
    <t>Alphonsa Sebastain</t>
  </si>
  <si>
    <t>MR/deaf</t>
  </si>
  <si>
    <t>6.14 cm</t>
  </si>
  <si>
    <t>2.39 cm</t>
  </si>
  <si>
    <t>ALP-004-004</t>
  </si>
  <si>
    <t>Amay Prashanth</t>
  </si>
  <si>
    <t>ALP-004-005</t>
  </si>
  <si>
    <t>Anjana</t>
  </si>
  <si>
    <t>5.45 cm</t>
  </si>
  <si>
    <t>1.98 cm</t>
  </si>
  <si>
    <t>ALP-004-008</t>
  </si>
  <si>
    <t>Devooty</t>
  </si>
  <si>
    <t>6.84 cm</t>
  </si>
  <si>
    <t>ALP-004-010</t>
  </si>
  <si>
    <t>Emiil Shilpa Jonny</t>
  </si>
  <si>
    <t>6.36 cm</t>
  </si>
  <si>
    <t>2.87 cm</t>
  </si>
  <si>
    <t>ALP-004-015</t>
  </si>
  <si>
    <t>Muhammed Aslam</t>
  </si>
  <si>
    <t>6.96 cm</t>
  </si>
  <si>
    <t>2.57 cm</t>
  </si>
  <si>
    <t>ALP-004-023</t>
  </si>
  <si>
    <t>Tini Philip</t>
  </si>
  <si>
    <t>6.86 cm</t>
  </si>
  <si>
    <t>2.46 cm</t>
  </si>
  <si>
    <t>ALP-004-018</t>
  </si>
  <si>
    <t>Ramees T S</t>
  </si>
  <si>
    <t>5.81 cm</t>
  </si>
  <si>
    <t>2.44 cm</t>
  </si>
  <si>
    <t>ALP-004-012</t>
  </si>
  <si>
    <t>Hari Govind</t>
  </si>
  <si>
    <t>5.78 cm</t>
  </si>
  <si>
    <t>1.89 cm</t>
  </si>
  <si>
    <t>ALP-004-021</t>
  </si>
  <si>
    <t>Shilpa priyam</t>
  </si>
  <si>
    <t>6.32 cm</t>
  </si>
  <si>
    <t>ALP-004-006</t>
  </si>
  <si>
    <t>Anna Liya Thomas</t>
  </si>
  <si>
    <t>MR/CP</t>
  </si>
  <si>
    <t>2.38 cm</t>
  </si>
  <si>
    <t>ALP-004-007</t>
  </si>
  <si>
    <t>Devi Kausallya</t>
  </si>
  <si>
    <t>5.65 cm</t>
  </si>
  <si>
    <t>ALP-004-017</t>
  </si>
  <si>
    <t>Phinehas Joseph</t>
  </si>
  <si>
    <t>Hyper active/Autism</t>
  </si>
  <si>
    <t>ALP-004-011</t>
  </si>
  <si>
    <t>Evania</t>
  </si>
  <si>
    <t>6.03 cm</t>
  </si>
  <si>
    <t>2.18 cm</t>
  </si>
  <si>
    <t>ALP-004-019</t>
  </si>
  <si>
    <t>Rudradev Lalush</t>
  </si>
  <si>
    <t>ALP-004-013</t>
  </si>
  <si>
    <t>hidha manoharan</t>
  </si>
  <si>
    <t>5.511 cm</t>
  </si>
  <si>
    <t>1.6 cm</t>
  </si>
  <si>
    <t>ALP-004-014</t>
  </si>
  <si>
    <t>Krishananth V</t>
  </si>
  <si>
    <t>5.74 cm</t>
  </si>
  <si>
    <t>ALP-004-020</t>
  </si>
  <si>
    <t>Shani Shaji</t>
  </si>
  <si>
    <t>5.68 cm</t>
  </si>
  <si>
    <t>2.26 cm</t>
  </si>
  <si>
    <t>ALP-004-022</t>
  </si>
  <si>
    <t>Sreeraman</t>
  </si>
  <si>
    <t>6.67 cm</t>
  </si>
  <si>
    <t>TVM-008-001</t>
  </si>
  <si>
    <t>Aneesha A</t>
  </si>
  <si>
    <t>6.01cm</t>
  </si>
  <si>
    <t>TVM-008-002</t>
  </si>
  <si>
    <t>Atheena Abdul Rasheed</t>
  </si>
  <si>
    <t>6.65cm</t>
  </si>
  <si>
    <t>TVM-008-003</t>
  </si>
  <si>
    <t>Mohammed Al Ameen</t>
  </si>
  <si>
    <t>TVM-008-004</t>
  </si>
  <si>
    <t>Pramod Freddy</t>
  </si>
  <si>
    <t>TVM-008-006</t>
  </si>
  <si>
    <t>Veena V S</t>
  </si>
  <si>
    <t>TVM-008-007</t>
  </si>
  <si>
    <t>Vishnu A</t>
  </si>
  <si>
    <t>4.93cm</t>
  </si>
  <si>
    <t>1.94cm</t>
  </si>
  <si>
    <t>ALP-005-001</t>
  </si>
  <si>
    <t>ALAMEEN</t>
  </si>
  <si>
    <t>LEARNING DISABILITY -MR 50%</t>
  </si>
  <si>
    <t>6.45 cm</t>
  </si>
  <si>
    <t>2.27 cm</t>
  </si>
  <si>
    <t>ALP-005-002</t>
  </si>
  <si>
    <t>ANUJ KUMAR</t>
  </si>
  <si>
    <t>MR WITH -CP</t>
  </si>
  <si>
    <t>8.26 cm</t>
  </si>
  <si>
    <t>2.64 cm</t>
  </si>
  <si>
    <t>ALP-005-003</t>
  </si>
  <si>
    <t>MUHAMMAD YAZIN .A</t>
  </si>
  <si>
    <t>MR- INTELLECTUAL DISABILITY</t>
  </si>
  <si>
    <t>7.13 cm</t>
  </si>
  <si>
    <t>2.99 cm</t>
  </si>
  <si>
    <t>ALP-005-004</t>
  </si>
  <si>
    <t>NISRIYA NASIR</t>
  </si>
  <si>
    <t>MR WITH CP</t>
  </si>
  <si>
    <t>6.53 cm</t>
  </si>
  <si>
    <t>2.22 cm</t>
  </si>
  <si>
    <t>ALP-005-005</t>
  </si>
  <si>
    <t>PRAVEEN P</t>
  </si>
  <si>
    <t>7.07 cm</t>
  </si>
  <si>
    <t>ALP-005-006</t>
  </si>
  <si>
    <t>YAMI.S</t>
  </si>
  <si>
    <t>MR -AUTISM-SEVERE CASE</t>
  </si>
  <si>
    <t>5.99 cm</t>
  </si>
  <si>
    <t>KLM-010-001</t>
  </si>
  <si>
    <t>Afiya Shahal</t>
  </si>
  <si>
    <t>2.92cm</t>
  </si>
  <si>
    <t>KLM-010-002</t>
  </si>
  <si>
    <t>Ammara Binth Shaja</t>
  </si>
  <si>
    <t>Orthopaedics issue (Right hand)</t>
  </si>
  <si>
    <t>5.95cm</t>
  </si>
  <si>
    <t>KLM-010-003</t>
  </si>
  <si>
    <t>Arun Das</t>
  </si>
  <si>
    <t>KLM-010-004</t>
  </si>
  <si>
    <t>Aryan N</t>
  </si>
  <si>
    <t>Cerebral Palsy (80%)</t>
  </si>
  <si>
    <t>7.38cm</t>
  </si>
  <si>
    <t>2.69cm</t>
  </si>
  <si>
    <t>KLM-010-006</t>
  </si>
  <si>
    <t>Hathim Irshad</t>
  </si>
  <si>
    <t>KLM-010-008</t>
  </si>
  <si>
    <t>Maheen H</t>
  </si>
  <si>
    <t>KLM-010-009</t>
  </si>
  <si>
    <t>Rashid S</t>
  </si>
  <si>
    <t>6.76cm</t>
  </si>
  <si>
    <t>KLM-010-010</t>
  </si>
  <si>
    <t>Shivaganga</t>
  </si>
  <si>
    <t>KLM-010-011</t>
  </si>
  <si>
    <t>Siya Muhammed</t>
  </si>
  <si>
    <t>8.09cm</t>
  </si>
  <si>
    <t>MLP-005-001</t>
  </si>
  <si>
    <t>ABHIMANYU KS</t>
  </si>
  <si>
    <t>MLP-005-002</t>
  </si>
  <si>
    <t>ABIMANYU KD</t>
  </si>
  <si>
    <t>MLP-005-003</t>
  </si>
  <si>
    <t>ADITHYAN PR</t>
  </si>
  <si>
    <t>MLP-005-004</t>
  </si>
  <si>
    <t>ASHIQUE</t>
  </si>
  <si>
    <t>MLP-005-008</t>
  </si>
  <si>
    <t>JASEELA</t>
  </si>
  <si>
    <t>MLP-005-009</t>
  </si>
  <si>
    <t>MOHAMMED ASIF</t>
  </si>
  <si>
    <t>MLP-005-010</t>
  </si>
  <si>
    <t>MOHAMMED SHAHAL</t>
  </si>
  <si>
    <t>MLP-005-013</t>
  </si>
  <si>
    <t>MOHAMMED SHAMVEEL</t>
  </si>
  <si>
    <t>MLP-005-015</t>
  </si>
  <si>
    <t>RASEL RAHMAN</t>
  </si>
  <si>
    <t>8.5 cm</t>
  </si>
  <si>
    <t>MLP-005-016</t>
  </si>
  <si>
    <t>SHEBIL DAS KK</t>
  </si>
  <si>
    <t>MLP-005-018</t>
  </si>
  <si>
    <t>SREEHARI</t>
  </si>
  <si>
    <t>TVM-007-001</t>
  </si>
  <si>
    <t>Abhijith M</t>
  </si>
  <si>
    <t>2.7cm</t>
  </si>
  <si>
    <t>TVM-007-002</t>
  </si>
  <si>
    <t>Amal Jose</t>
  </si>
  <si>
    <t>TVM-007-005</t>
  </si>
  <si>
    <t>Athira SB</t>
  </si>
  <si>
    <t>TVM-007-006</t>
  </si>
  <si>
    <t>Bijin J V</t>
  </si>
  <si>
    <t>TVM-007-007</t>
  </si>
  <si>
    <t>Ganga Krishnan</t>
  </si>
  <si>
    <t>TVM-007-010</t>
  </si>
  <si>
    <t>Jishnu SS</t>
  </si>
  <si>
    <t>TVM-007-011</t>
  </si>
  <si>
    <t>Jovel Ajith</t>
  </si>
  <si>
    <t>TVM-007-012</t>
  </si>
  <si>
    <t>Lakshmi Priya</t>
  </si>
  <si>
    <t>TVM-007-013</t>
  </si>
  <si>
    <t>Nitheesh</t>
  </si>
  <si>
    <t>TVM-007-017</t>
  </si>
  <si>
    <t>Shahid S</t>
  </si>
  <si>
    <t>TVM-007-018</t>
  </si>
  <si>
    <t>Shinoy S S</t>
  </si>
  <si>
    <t>ALP-006-002</t>
  </si>
  <si>
    <t>FARHANA</t>
  </si>
  <si>
    <t>MENTAL RETARDATION (MR)</t>
  </si>
  <si>
    <t>6.24 cm</t>
  </si>
  <si>
    <t>2.29 cm</t>
  </si>
  <si>
    <t>ALP-006-004</t>
  </si>
  <si>
    <t>JACOB P MANOJ</t>
  </si>
  <si>
    <t>MR - DOWN SYNDROM</t>
  </si>
  <si>
    <t>ALP-006-005</t>
  </si>
  <si>
    <t>MEERA MANOJ</t>
  </si>
  <si>
    <t>MULTIPLE DISABILITY</t>
  </si>
  <si>
    <t>2.12 cm</t>
  </si>
  <si>
    <t>ALP-006-006</t>
  </si>
  <si>
    <t>SREYAS S KUMAR</t>
  </si>
  <si>
    <t>7.85 cm</t>
  </si>
  <si>
    <t>2.62 cm</t>
  </si>
  <si>
    <t>ALP-006-007</t>
  </si>
  <si>
    <t>VINAYAK</t>
  </si>
  <si>
    <t>BORDERLINE PERSONALITY DISORDER</t>
  </si>
  <si>
    <t>ALP-006-008</t>
  </si>
  <si>
    <t>VISHNU SUNIL</t>
  </si>
  <si>
    <t>AUTISM- SEVERE CASE</t>
  </si>
  <si>
    <t>KTY-001-001</t>
  </si>
  <si>
    <t>Aibel Jinu</t>
  </si>
  <si>
    <t>6.85cm</t>
  </si>
  <si>
    <t>2.95cm</t>
  </si>
  <si>
    <t>KTY-001-002</t>
  </si>
  <si>
    <t>B Hariharanandanan</t>
  </si>
  <si>
    <t>KTY-001-003</t>
  </si>
  <si>
    <t>Blessy Maria Biju</t>
  </si>
  <si>
    <t>KTY-001-004</t>
  </si>
  <si>
    <t>Dyan Kalesh</t>
  </si>
  <si>
    <t>KTY-001-005</t>
  </si>
  <si>
    <t>Joseph James</t>
  </si>
  <si>
    <t>KTY-001-006</t>
  </si>
  <si>
    <t>Maria Jino</t>
  </si>
  <si>
    <t>KTY-001-007</t>
  </si>
  <si>
    <t>Meenu Manoj</t>
  </si>
  <si>
    <t>KTY-001-008</t>
  </si>
  <si>
    <t>Shahid N</t>
  </si>
  <si>
    <t>KTY-001-009</t>
  </si>
  <si>
    <t>Sourav Bineesh</t>
  </si>
  <si>
    <t>6.5cm</t>
  </si>
  <si>
    <t>Sl. No.</t>
  </si>
  <si>
    <t>DISTRICTS</t>
  </si>
  <si>
    <t>STUDENTS</t>
  </si>
  <si>
    <t>DEVICES</t>
  </si>
  <si>
    <t>Pathanamthitta</t>
  </si>
  <si>
    <t>Kottayam</t>
  </si>
  <si>
    <t>Thrissur</t>
  </si>
  <si>
    <t>malappuram</t>
  </si>
  <si>
    <t>Wayanad</t>
  </si>
  <si>
    <t>Kannur</t>
  </si>
  <si>
    <t>AGE</t>
  </si>
  <si>
    <t>TEACHER'S NAME</t>
  </si>
  <si>
    <t>Ponnambili J</t>
  </si>
  <si>
    <t>ITEM</t>
  </si>
  <si>
    <t>KDISC STOCK</t>
  </si>
  <si>
    <t>ADARSH STOCK</t>
  </si>
  <si>
    <t>VALAKKAYAM STOCK</t>
  </si>
  <si>
    <t>ORDERED</t>
  </si>
  <si>
    <t>Pending purchase</t>
  </si>
  <si>
    <t>TVM-002-002</t>
  </si>
  <si>
    <t>Abin A V</t>
  </si>
  <si>
    <t>Cerebral Palsy (70%)</t>
  </si>
  <si>
    <t>ND-999</t>
  </si>
  <si>
    <t>PENCIL</t>
  </si>
  <si>
    <t>NA</t>
  </si>
  <si>
    <t>TVM-002-004</t>
  </si>
  <si>
    <t>Adwaith A Ani</t>
  </si>
  <si>
    <t>Cerebral Palsy (85%)</t>
  </si>
  <si>
    <t>Autistic Spectrum Disorder(70%)</t>
  </si>
  <si>
    <t>PEN</t>
  </si>
  <si>
    <t>NDL-09</t>
  </si>
  <si>
    <t>TVM-002-007</t>
  </si>
  <si>
    <t>Aleena R S</t>
  </si>
  <si>
    <t>TOOTHBRUSH</t>
  </si>
  <si>
    <t>SPOON/FORK</t>
  </si>
  <si>
    <t>TVM-002-009</t>
  </si>
  <si>
    <t>BOXES</t>
  </si>
  <si>
    <t>TVM-002-010</t>
  </si>
  <si>
    <t>Anagha Ajayan</t>
  </si>
  <si>
    <t>GREETINGS</t>
  </si>
  <si>
    <t>TVM-002-011</t>
  </si>
  <si>
    <t>Anagha Anilkumar</t>
  </si>
  <si>
    <t>CP-70%</t>
  </si>
  <si>
    <t>NUMBER OF SCHOOLS</t>
  </si>
  <si>
    <t>TVM-002-012</t>
  </si>
  <si>
    <t>Ananya D S</t>
  </si>
  <si>
    <t>ID-75%</t>
  </si>
  <si>
    <t>w/0 LPS</t>
  </si>
  <si>
    <t>TVM-002-019</t>
  </si>
  <si>
    <t>Nidina M</t>
  </si>
  <si>
    <t>Cerebral Palsy -90%</t>
  </si>
  <si>
    <t>TVM-002-022</t>
  </si>
  <si>
    <t>Sreyas B N</t>
  </si>
  <si>
    <t>TVM-002-024</t>
  </si>
  <si>
    <t>Surya Narayanan S</t>
  </si>
  <si>
    <t>Autism -45%</t>
  </si>
  <si>
    <t>TVM-002-025</t>
  </si>
  <si>
    <t>Vyshnavi S</t>
  </si>
  <si>
    <t>Suji K A</t>
  </si>
  <si>
    <t>6.75 cm</t>
  </si>
  <si>
    <t>3 cm</t>
  </si>
  <si>
    <t>7.90 cm</t>
  </si>
  <si>
    <t>LPS</t>
  </si>
  <si>
    <t>TVM-003-009</t>
  </si>
  <si>
    <t>Arun</t>
  </si>
  <si>
    <t>7.95 cm</t>
  </si>
  <si>
    <t>TVM-003-010</t>
  </si>
  <si>
    <t xml:space="preserve">Bhagyanath </t>
  </si>
  <si>
    <t>TVM-001-001</t>
  </si>
  <si>
    <t>Abhiram M</t>
  </si>
  <si>
    <t>Shani S</t>
  </si>
  <si>
    <t>6.42cm</t>
  </si>
  <si>
    <t>TVM-001-002</t>
  </si>
  <si>
    <t>Adarsh MS</t>
  </si>
  <si>
    <t>LP-999</t>
  </si>
  <si>
    <t>TVM-001-003</t>
  </si>
  <si>
    <t>Aliya Laji</t>
  </si>
  <si>
    <t>TVM-001-005</t>
  </si>
  <si>
    <t>Devika Ashok</t>
  </si>
  <si>
    <t>7.17cm</t>
  </si>
  <si>
    <t>2.81cm</t>
  </si>
  <si>
    <t>TVM-001-008</t>
  </si>
  <si>
    <t>Rajesh S</t>
  </si>
  <si>
    <t>TVM-005-001</t>
  </si>
  <si>
    <t>Anamika D S</t>
  </si>
  <si>
    <t>Intellectual disability (90%)</t>
  </si>
  <si>
    <t>Rajimol T R</t>
  </si>
  <si>
    <t>TVM-005-002</t>
  </si>
  <si>
    <t>Aneesh Shishupalan</t>
  </si>
  <si>
    <t>MR (75%)</t>
  </si>
  <si>
    <t>Rajimol. T R</t>
  </si>
  <si>
    <t>TVM-005-009</t>
  </si>
  <si>
    <t>Reshma</t>
  </si>
  <si>
    <t>ID (70%)</t>
  </si>
  <si>
    <t>Smitha S O</t>
  </si>
  <si>
    <t>TVM-008-005</t>
  </si>
  <si>
    <t>Sneha S</t>
  </si>
  <si>
    <t>Akhila A L</t>
  </si>
  <si>
    <t>TVM-007-003</t>
  </si>
  <si>
    <t>Anamika R</t>
  </si>
  <si>
    <t>TVM-007-004</t>
  </si>
  <si>
    <t>Anju M</t>
  </si>
  <si>
    <t>3.69cm</t>
  </si>
  <si>
    <t>2.91cm</t>
  </si>
  <si>
    <t>TVM-007-008</t>
  </si>
  <si>
    <t>Gopika Gopan</t>
  </si>
  <si>
    <t>TVM-007-009</t>
  </si>
  <si>
    <t>Jagan Ram</t>
  </si>
  <si>
    <t>TVM-007-014</t>
  </si>
  <si>
    <t>Rahul R I</t>
  </si>
  <si>
    <t>8.87cm</t>
  </si>
  <si>
    <t>TVM-007-015</t>
  </si>
  <si>
    <t>Ramya Das</t>
  </si>
  <si>
    <t>TVM-007-016</t>
  </si>
  <si>
    <t>Salu P</t>
  </si>
  <si>
    <t>7.87cm</t>
  </si>
  <si>
    <t>3.02cm</t>
  </si>
  <si>
    <t>TVM-007-019</t>
  </si>
  <si>
    <t>Sreejith SS</t>
  </si>
  <si>
    <t>TVM-007-020</t>
  </si>
  <si>
    <t>Vinitha N B</t>
  </si>
  <si>
    <t>Greeshma S</t>
  </si>
  <si>
    <t>TVM-006-003</t>
  </si>
  <si>
    <t>Ayvin</t>
  </si>
  <si>
    <t>TVM-006-005</t>
  </si>
  <si>
    <t>Haseeb Hassain</t>
  </si>
  <si>
    <t>TVM-006-007</t>
  </si>
  <si>
    <t>Soumya S</t>
  </si>
  <si>
    <t>TVM-006-008</t>
  </si>
  <si>
    <t>Sruthi S</t>
  </si>
  <si>
    <t>TVM-004-001</t>
  </si>
  <si>
    <t>Adityan</t>
  </si>
  <si>
    <t>Vinithakumari V</t>
  </si>
  <si>
    <t>2.93cm</t>
  </si>
  <si>
    <t>TVM-004-002</t>
  </si>
  <si>
    <t>TVM-004-003</t>
  </si>
  <si>
    <t>ManuMohan MK</t>
  </si>
  <si>
    <t>Intellectual Disability (55%)</t>
  </si>
  <si>
    <t>8.68cm</t>
  </si>
  <si>
    <t>3.35cm</t>
  </si>
  <si>
    <t>TVM-004-004</t>
  </si>
  <si>
    <t>Nandana</t>
  </si>
  <si>
    <t>7.09cm</t>
  </si>
  <si>
    <t>2.41cm</t>
  </si>
  <si>
    <t>7.15 cm</t>
  </si>
  <si>
    <t>3 .29cm</t>
  </si>
  <si>
    <t>8.52 cm</t>
  </si>
  <si>
    <t>KLM-006-001</t>
  </si>
  <si>
    <t>Abhinav B</t>
  </si>
  <si>
    <t>Anuja</t>
  </si>
  <si>
    <t>Anuja Raj</t>
  </si>
  <si>
    <t>KLM-006-005</t>
  </si>
  <si>
    <t>Ananthu S B</t>
  </si>
  <si>
    <t>KLM-006-007</t>
  </si>
  <si>
    <t>Ashwajith R J</t>
  </si>
  <si>
    <t>Global Developmental Delay</t>
  </si>
  <si>
    <t>KLM-006-011</t>
  </si>
  <si>
    <t>Karthik</t>
  </si>
  <si>
    <t>Intellectual disability (Mild)</t>
  </si>
  <si>
    <t>KLM-006-016</t>
  </si>
  <si>
    <t>Navaneeth Shambu</t>
  </si>
  <si>
    <t>KLM-006-021</t>
  </si>
  <si>
    <t>Shabarinath</t>
  </si>
  <si>
    <t>KLM-006-022</t>
  </si>
  <si>
    <t>ShivaMohan</t>
  </si>
  <si>
    <t>7.98cm</t>
  </si>
  <si>
    <t>KLM-006-023</t>
  </si>
  <si>
    <t>Sreehari V S</t>
  </si>
  <si>
    <t>Cerebral Palsy(Severe)</t>
  </si>
  <si>
    <t>KLM-006-024</t>
  </si>
  <si>
    <t>Sreekutty</t>
  </si>
  <si>
    <t>Mild Intellectual disability</t>
  </si>
  <si>
    <t>KLM-006-028</t>
  </si>
  <si>
    <t>Vyshak S</t>
  </si>
  <si>
    <t>Sonia Antony</t>
  </si>
  <si>
    <t>Manju C</t>
  </si>
  <si>
    <t>Shanimol S M</t>
  </si>
  <si>
    <t>6.06cm</t>
  </si>
  <si>
    <t>KLM-004-003</t>
  </si>
  <si>
    <t>Anu Nanda Anil</t>
  </si>
  <si>
    <t>6.98cm</t>
  </si>
  <si>
    <t>7.71 cm</t>
  </si>
  <si>
    <t>2.79cm</t>
  </si>
  <si>
    <t>7.59cm</t>
  </si>
  <si>
    <t>KLM-004-012</t>
  </si>
  <si>
    <t>Gauthami C</t>
  </si>
  <si>
    <t>4.62cm</t>
  </si>
  <si>
    <t>1.64cm</t>
  </si>
  <si>
    <t>KLM-004-013</t>
  </si>
  <si>
    <t>Hari S</t>
  </si>
  <si>
    <t>KLM-004-021</t>
  </si>
  <si>
    <t>Sooraj S</t>
  </si>
  <si>
    <t>Veena M S</t>
  </si>
  <si>
    <t>7.75cm</t>
  </si>
  <si>
    <t>3.51cm</t>
  </si>
  <si>
    <t>KLM-008-007</t>
  </si>
  <si>
    <t>Muhammed Musammil M</t>
  </si>
  <si>
    <t>Jyothilekshmi R</t>
  </si>
  <si>
    <t>KLM-001-003</t>
  </si>
  <si>
    <t>Dev Saran</t>
  </si>
  <si>
    <t>KLM-001-004</t>
  </si>
  <si>
    <t>Hameed Farhan</t>
  </si>
  <si>
    <t>5.34cm</t>
  </si>
  <si>
    <t>2.24cm</t>
  </si>
  <si>
    <t>Silpa Sankar</t>
  </si>
  <si>
    <t>KLM-002-002</t>
  </si>
  <si>
    <t>Al Ameen</t>
  </si>
  <si>
    <t>7.64cm</t>
  </si>
  <si>
    <t>Sreelakshmi S</t>
  </si>
  <si>
    <t>KLM-005-004</t>
  </si>
  <si>
    <t>Arush A</t>
  </si>
  <si>
    <t>Kavitha Balakrishnan</t>
  </si>
  <si>
    <t>KLM-009-003</t>
  </si>
  <si>
    <t>Aditya D Gopan</t>
  </si>
  <si>
    <t>KLM-009-005</t>
  </si>
  <si>
    <t>Rinooja Shabu</t>
  </si>
  <si>
    <t>2.74cm</t>
  </si>
  <si>
    <t>Aseena H</t>
  </si>
  <si>
    <t>KLM-010-005</t>
  </si>
  <si>
    <t>Ashitha Harikumar</t>
  </si>
  <si>
    <t>KLM-010-007</t>
  </si>
  <si>
    <t>Isha Santhosh</t>
  </si>
  <si>
    <t>Intellectual Disability (40%)</t>
  </si>
  <si>
    <t>Arya A B</t>
  </si>
  <si>
    <t>PTT-001-014</t>
  </si>
  <si>
    <t>Krishnapriya</t>
  </si>
  <si>
    <t>Ratheesh K R</t>
  </si>
  <si>
    <t>5.38cm</t>
  </si>
  <si>
    <t>Jitha K V</t>
  </si>
  <si>
    <t>6.02 cm</t>
  </si>
  <si>
    <t>5.54 cm</t>
  </si>
  <si>
    <t>ALP-004-009</t>
  </si>
  <si>
    <t>Dhihyah Zain</t>
  </si>
  <si>
    <t>5.37 cm</t>
  </si>
  <si>
    <t>ALP-004-016</t>
  </si>
  <si>
    <t>Muhammed Yasim</t>
  </si>
  <si>
    <t>Visual impairment(partial)</t>
  </si>
  <si>
    <t>7.54 cm</t>
  </si>
  <si>
    <t>2.98 cm</t>
  </si>
  <si>
    <t>2.52 cm</t>
  </si>
  <si>
    <t>5.47 cm</t>
  </si>
  <si>
    <t>1.96 cm</t>
  </si>
  <si>
    <t>ALP-001-001</t>
  </si>
  <si>
    <t>ACHUTHAN M S</t>
  </si>
  <si>
    <t>REMYA KRISNA G</t>
  </si>
  <si>
    <t>2.48 cm</t>
  </si>
  <si>
    <t>ALP-001-003</t>
  </si>
  <si>
    <t>DEEVASURIYA</t>
  </si>
  <si>
    <t>7.1 cm</t>
  </si>
  <si>
    <t>LEKHA</t>
  </si>
  <si>
    <t>ALP-001-008</t>
  </si>
  <si>
    <t>PRANAVE</t>
  </si>
  <si>
    <t>DOWN SYNDROM</t>
  </si>
  <si>
    <t>5.79 cm</t>
  </si>
  <si>
    <t>2.03 cm</t>
  </si>
  <si>
    <t>REHUMA</t>
  </si>
  <si>
    <t>AUTISM ( muLTIPLE DASBILITY)</t>
  </si>
  <si>
    <t>ALP-002-005</t>
  </si>
  <si>
    <t>AYUSH</t>
  </si>
  <si>
    <t>KUNJUMOL</t>
  </si>
  <si>
    <t>ALP-006-001</t>
  </si>
  <si>
    <t>Nirmala V G</t>
  </si>
  <si>
    <t>ALP-006-003</t>
  </si>
  <si>
    <t>GOURI KRISHNA</t>
  </si>
  <si>
    <t>MR - HYPERACTIVE</t>
  </si>
  <si>
    <t>6.22 cm</t>
  </si>
  <si>
    <t>ALP-003-001</t>
  </si>
  <si>
    <t>AMAL JITH</t>
  </si>
  <si>
    <t>AUTISM &amp; ID</t>
  </si>
  <si>
    <t>SHARANYA S</t>
  </si>
  <si>
    <t>Sarimol S</t>
  </si>
  <si>
    <t>5.97 cm</t>
  </si>
  <si>
    <t xml:space="preserve">7.66cm </t>
  </si>
  <si>
    <t>2.65 cm</t>
  </si>
  <si>
    <t>Savitha</t>
  </si>
  <si>
    <t>IDK-002-002</t>
  </si>
  <si>
    <t>Ajmal C M</t>
  </si>
  <si>
    <t>6.87 cm</t>
  </si>
  <si>
    <t>2.78 cm</t>
  </si>
  <si>
    <t>IDK-002-003</t>
  </si>
  <si>
    <t>Anjumol Jonny</t>
  </si>
  <si>
    <t>5.96 cm</t>
  </si>
  <si>
    <t>6.73 cm</t>
  </si>
  <si>
    <t>IDK-002-005</t>
  </si>
  <si>
    <t>Juarije T R</t>
  </si>
  <si>
    <t>IDK-002-006</t>
  </si>
  <si>
    <t>Muhammad T R</t>
  </si>
  <si>
    <t>6.92 cm</t>
  </si>
  <si>
    <t>IDK-001-001</t>
  </si>
  <si>
    <t>Arjun Anil</t>
  </si>
  <si>
    <t>IDK-001-002</t>
  </si>
  <si>
    <t>Dershan</t>
  </si>
  <si>
    <t>6.72 cm</t>
  </si>
  <si>
    <t>5.63 cm</t>
  </si>
  <si>
    <t>5.42 cm</t>
  </si>
  <si>
    <t>2.63 cm</t>
  </si>
  <si>
    <t>IDK-001-007</t>
  </si>
  <si>
    <t>Vignesh</t>
  </si>
  <si>
    <t>6.74 cm</t>
  </si>
  <si>
    <t>2.73 cm</t>
  </si>
  <si>
    <t>IDK-001-008</t>
  </si>
  <si>
    <t>Vinayak</t>
  </si>
  <si>
    <t>EKM-004-001</t>
  </si>
  <si>
    <t>Ajay Krishna</t>
  </si>
  <si>
    <t>Sreekala M R</t>
  </si>
  <si>
    <t>EKM-004-002</t>
  </si>
  <si>
    <t>Ashik Haneefa</t>
  </si>
  <si>
    <t>Sreekala</t>
  </si>
  <si>
    <t>EKM-004-005</t>
  </si>
  <si>
    <t>EKM-004-009</t>
  </si>
  <si>
    <t>Ramla</t>
  </si>
  <si>
    <t>Arya babu</t>
  </si>
  <si>
    <t>Beena</t>
  </si>
  <si>
    <t>sasikala</t>
  </si>
  <si>
    <t>Steny C Manual</t>
  </si>
  <si>
    <t>ROSLIN</t>
  </si>
  <si>
    <t>Lidiya C S</t>
  </si>
  <si>
    <t>EKM-009-003</t>
  </si>
  <si>
    <t>Anju K S</t>
  </si>
  <si>
    <t>EKM-009-005</t>
  </si>
  <si>
    <t>Mariya</t>
  </si>
  <si>
    <t>EKM-006-001</t>
  </si>
  <si>
    <t>Judson</t>
  </si>
  <si>
    <t>JOICY</t>
  </si>
  <si>
    <t>6.71 cm</t>
  </si>
  <si>
    <t>Sandhya Mohandas</t>
  </si>
  <si>
    <t>EKM-010-002</t>
  </si>
  <si>
    <t>Aparna Divin</t>
  </si>
  <si>
    <t>2.88 cm</t>
  </si>
  <si>
    <t>Febin</t>
  </si>
  <si>
    <t>6.4 cm</t>
  </si>
  <si>
    <t>Geethu P Palayoor</t>
  </si>
  <si>
    <t>5.58 cm</t>
  </si>
  <si>
    <t>TSR-002-003</t>
  </si>
  <si>
    <t>Arshitha</t>
  </si>
  <si>
    <t>ID/visual impairment partial</t>
  </si>
  <si>
    <t>5.67 cm</t>
  </si>
  <si>
    <t>TSR-002-004</t>
  </si>
  <si>
    <t>Dhua</t>
  </si>
  <si>
    <t>5.02 cm</t>
  </si>
  <si>
    <t>TSR-002-006</t>
  </si>
  <si>
    <t>Fathima Zenha</t>
  </si>
  <si>
    <t>5.46 cm</t>
  </si>
  <si>
    <t>TSR-002-010</t>
  </si>
  <si>
    <t>Shivanesh S</t>
  </si>
  <si>
    <t>2.13 cm</t>
  </si>
  <si>
    <t>TSR-002-011</t>
  </si>
  <si>
    <t>Shreya V S</t>
  </si>
  <si>
    <t>5.86 cm</t>
  </si>
  <si>
    <t>2.54 cm</t>
  </si>
  <si>
    <t>TSR-002-012</t>
  </si>
  <si>
    <t>Sreehare K P</t>
  </si>
  <si>
    <t>2.33 cm</t>
  </si>
  <si>
    <t>TSR-002-013</t>
  </si>
  <si>
    <t>Suhani K J</t>
  </si>
  <si>
    <t>6.83 cm</t>
  </si>
  <si>
    <t>6.41 cm</t>
  </si>
  <si>
    <t>5.62 cm</t>
  </si>
  <si>
    <t>MODHINI</t>
  </si>
  <si>
    <t>PAL-001-004</t>
  </si>
  <si>
    <t>Neha shibu</t>
  </si>
  <si>
    <t>4.59 cm</t>
  </si>
  <si>
    <t>1.75 cm</t>
  </si>
  <si>
    <t>PAL-001-006</t>
  </si>
  <si>
    <t xml:space="preserve">Aravind  </t>
  </si>
  <si>
    <t>1.55cm</t>
  </si>
  <si>
    <t>PAL-001-007</t>
  </si>
  <si>
    <t xml:space="preserve">Vibisha  </t>
  </si>
  <si>
    <t>PAL-001-008</t>
  </si>
  <si>
    <t xml:space="preserve">Sana  </t>
  </si>
  <si>
    <t>PAL-001-009</t>
  </si>
  <si>
    <t xml:space="preserve">Sravan </t>
  </si>
  <si>
    <t xml:space="preserve"> 1.5cm</t>
  </si>
  <si>
    <t>PAL-001-010</t>
  </si>
  <si>
    <t xml:space="preserve">Amrutha   </t>
  </si>
  <si>
    <t>5.5cm</t>
  </si>
  <si>
    <t>PAL-001-011</t>
  </si>
  <si>
    <t xml:space="preserve">Shivakarthikeyan  </t>
  </si>
  <si>
    <t xml:space="preserve"> 4.5cm</t>
  </si>
  <si>
    <t>PAL-001-012</t>
  </si>
  <si>
    <t xml:space="preserve">Manu </t>
  </si>
  <si>
    <t xml:space="preserve"> 8.2 cm </t>
  </si>
  <si>
    <t>PAL-001-013</t>
  </si>
  <si>
    <t xml:space="preserve">Rithuna  </t>
  </si>
  <si>
    <t xml:space="preserve"> 7cm</t>
  </si>
  <si>
    <t>PAL-001-014</t>
  </si>
  <si>
    <t xml:space="preserve">Nandhu  </t>
  </si>
  <si>
    <t xml:space="preserve"> 2cm</t>
  </si>
  <si>
    <t>PAL-001-015</t>
  </si>
  <si>
    <t xml:space="preserve">Abhayanantha  </t>
  </si>
  <si>
    <t xml:space="preserve"> 6cm</t>
  </si>
  <si>
    <t>SULAIKHA</t>
  </si>
  <si>
    <t>ASWATHI</t>
  </si>
  <si>
    <t>RATNA</t>
  </si>
  <si>
    <t>PRAJITHA</t>
  </si>
  <si>
    <t>MLP-005-005</t>
  </si>
  <si>
    <t>ASWIN BINOY</t>
  </si>
  <si>
    <t>MLP-005-006</t>
  </si>
  <si>
    <t>AYSHA NIYA</t>
  </si>
  <si>
    <t>1.1 cm</t>
  </si>
  <si>
    <t>MLP-005-007</t>
  </si>
  <si>
    <t>FATHIMA SHANZA EK</t>
  </si>
  <si>
    <t>MLP-005-011</t>
  </si>
  <si>
    <t>MOHAMMED SHAHAL NK</t>
  </si>
  <si>
    <t>11 cm</t>
  </si>
  <si>
    <t>MLP-005-012</t>
  </si>
  <si>
    <t>MOHAMMED SHAHZAD KV</t>
  </si>
  <si>
    <t>MLP-005-014</t>
  </si>
  <si>
    <t>NIRANJAN C</t>
  </si>
  <si>
    <t>MLP-005-017</t>
  </si>
  <si>
    <t>SIYAN K</t>
  </si>
  <si>
    <t>MLP-005-019</t>
  </si>
  <si>
    <t>VIGNESH CP</t>
  </si>
  <si>
    <t>SANITHA</t>
  </si>
  <si>
    <t>MLP-003-008</t>
  </si>
  <si>
    <t>NASVA</t>
  </si>
  <si>
    <t>MLP-003-010</t>
  </si>
  <si>
    <t>NEHALA</t>
  </si>
  <si>
    <t>MLP-003-012</t>
  </si>
  <si>
    <t>SHAMIL P</t>
  </si>
  <si>
    <t>MLP-004-001</t>
  </si>
  <si>
    <t>ABHINAV T</t>
  </si>
  <si>
    <t>SEEMA</t>
  </si>
  <si>
    <t>MLP-004-003</t>
  </si>
  <si>
    <t>BHARATHRU KRISHNA</t>
  </si>
  <si>
    <t>MLP-004-004</t>
  </si>
  <si>
    <t>FATHIMA SIYA</t>
  </si>
  <si>
    <t>MLP-004-007</t>
  </si>
  <si>
    <t>MOHAMMED SHHAHAL</t>
  </si>
  <si>
    <t>MLP-004-010</t>
  </si>
  <si>
    <t>SUBAIR</t>
  </si>
  <si>
    <t>Mariyakutty TM</t>
  </si>
  <si>
    <t>KZD-001-004</t>
  </si>
  <si>
    <t>Amna hannath</t>
  </si>
  <si>
    <t>KZD-001-006</t>
  </si>
  <si>
    <t>Keerthana</t>
  </si>
  <si>
    <t>KZD-001-008</t>
  </si>
  <si>
    <t>Sharon M</t>
  </si>
  <si>
    <t>Ashique C S</t>
  </si>
  <si>
    <t>WYN-001-007</t>
  </si>
  <si>
    <t>Lalitha</t>
  </si>
  <si>
    <t>WYN-001-008</t>
  </si>
  <si>
    <t>midhun</t>
  </si>
  <si>
    <t>WYN-001-010</t>
  </si>
  <si>
    <t>Sreelekshmi</t>
  </si>
  <si>
    <t>7.2 cm</t>
  </si>
  <si>
    <t>Archana</t>
  </si>
  <si>
    <t>KNR-001-002</t>
  </si>
  <si>
    <t>amala</t>
  </si>
  <si>
    <t>KNR-001-006</t>
  </si>
  <si>
    <t>niranjana</t>
  </si>
  <si>
    <t>KNR-001-010</t>
  </si>
  <si>
    <t>sauparnika</t>
  </si>
  <si>
    <t>CP+ID</t>
  </si>
  <si>
    <t>Prameela</t>
  </si>
  <si>
    <t>j nm</t>
  </si>
  <si>
    <t xml:space="preserve">Total </t>
  </si>
  <si>
    <t>Printed</t>
  </si>
  <si>
    <t xml:space="preserve">Pending </t>
  </si>
  <si>
    <t>SCHOOL LIST</t>
  </si>
  <si>
    <t>302102001</t>
  </si>
  <si>
    <t>101103001</t>
  </si>
  <si>
    <t>ND-02</t>
  </si>
  <si>
    <t>302102002</t>
  </si>
  <si>
    <t>101103002</t>
  </si>
  <si>
    <t>302202002</t>
  </si>
  <si>
    <t>302102003</t>
  </si>
  <si>
    <t>101103003</t>
  </si>
  <si>
    <t>ND-04</t>
  </si>
  <si>
    <t>302102004</t>
  </si>
  <si>
    <t>101103004</t>
  </si>
  <si>
    <t>302102005</t>
  </si>
  <si>
    <t>101103005</t>
  </si>
  <si>
    <t>302102006</t>
  </si>
  <si>
    <t>101103006</t>
  </si>
  <si>
    <t>302102007</t>
  </si>
  <si>
    <t>101103007</t>
  </si>
  <si>
    <t>302102008</t>
  </si>
  <si>
    <t>101103008</t>
  </si>
  <si>
    <t>302102009</t>
  </si>
  <si>
    <t>101103009</t>
  </si>
  <si>
    <t>302102010</t>
  </si>
  <si>
    <t>101103010</t>
  </si>
  <si>
    <t>Total</t>
  </si>
  <si>
    <t>302102011</t>
  </si>
  <si>
    <t>101103011</t>
  </si>
  <si>
    <t>w/o LPS</t>
  </si>
  <si>
    <t>302102012</t>
  </si>
  <si>
    <t>101103012</t>
  </si>
  <si>
    <t>302102013</t>
  </si>
  <si>
    <t>101103013</t>
  </si>
  <si>
    <t>302102014</t>
  </si>
  <si>
    <t>101103014</t>
  </si>
  <si>
    <t>302102015</t>
  </si>
  <si>
    <t>101103015</t>
  </si>
  <si>
    <t>302102016</t>
  </si>
  <si>
    <t>101103016</t>
  </si>
  <si>
    <t>ND-17</t>
  </si>
  <si>
    <t>302102017</t>
  </si>
  <si>
    <t>101103017</t>
  </si>
  <si>
    <t>302102018</t>
  </si>
  <si>
    <t>101103018</t>
  </si>
  <si>
    <t>302102019</t>
  </si>
  <si>
    <t>101103019</t>
  </si>
  <si>
    <t>302102020</t>
  </si>
  <si>
    <t>101103020</t>
  </si>
  <si>
    <t>wihtout lps</t>
  </si>
  <si>
    <t>pending w/o LPS</t>
  </si>
  <si>
    <t>No.</t>
  </si>
  <si>
    <t xml:space="preserve">Tooth Brush Holder </t>
  </si>
  <si>
    <t>No.2</t>
  </si>
  <si>
    <t>No.3</t>
  </si>
  <si>
    <t>Reading Bar</t>
  </si>
  <si>
    <t>No.4</t>
  </si>
  <si>
    <t>Remarks</t>
  </si>
  <si>
    <t>SCHOOL NAME</t>
  </si>
  <si>
    <t>NAME OF PANCHAYAT/MUNCIPALITY/BLOCK</t>
  </si>
  <si>
    <t>Devices</t>
  </si>
  <si>
    <t>students</t>
  </si>
  <si>
    <t>TRIPUNITHURA</t>
  </si>
  <si>
    <t>CHEMMARUTHY</t>
  </si>
  <si>
    <t>sl no</t>
  </si>
  <si>
    <t>district</t>
  </si>
  <si>
    <t>devices</t>
  </si>
  <si>
    <t>POOVACHAL</t>
  </si>
  <si>
    <t>ELAKAMON</t>
  </si>
  <si>
    <t>VILAPPILSALA</t>
  </si>
  <si>
    <t>PALLICHAL</t>
  </si>
  <si>
    <t>NEDUMANGAD</t>
  </si>
  <si>
    <t>CHIRAYINKEEZHU</t>
  </si>
  <si>
    <t>MARANALLOOR</t>
  </si>
  <si>
    <t>KADAKKAL</t>
  </si>
  <si>
    <t>KULATHUPPUZHA</t>
  </si>
  <si>
    <t>ELAMPALLOOR</t>
  </si>
  <si>
    <t>MAYYANAD</t>
  </si>
  <si>
    <t>PERINAD</t>
  </si>
  <si>
    <t>ITTIVA</t>
  </si>
  <si>
    <t>SOORANAD SOUTH</t>
  </si>
  <si>
    <t>PUNALUR</t>
  </si>
  <si>
    <t>CLAPPANA</t>
  </si>
  <si>
    <t>MALAYALAPPUZHA</t>
  </si>
  <si>
    <t>NARANAMMOOZHY</t>
  </si>
  <si>
    <t>THURAVOOR</t>
  </si>
  <si>
    <t>CHERTHALA</t>
  </si>
  <si>
    <t>KAPIL</t>
  </si>
  <si>
    <t>SNEHA</t>
  </si>
  <si>
    <t>PUNNAPRA NORTH</t>
  </si>
  <si>
    <t>MARARI</t>
  </si>
  <si>
    <t>THRIKKODITHANAM</t>
  </si>
  <si>
    <t>KUMILY</t>
  </si>
  <si>
    <t>PALLARIMANGALAM</t>
  </si>
  <si>
    <t>PAIPRA</t>
  </si>
  <si>
    <t>PARAKKADAVU</t>
  </si>
  <si>
    <t>ALANGAD</t>
  </si>
  <si>
    <t>EDAVANAKADU</t>
  </si>
  <si>
    <t>KUMBLANGI</t>
  </si>
  <si>
    <t>KOOVAPADY</t>
  </si>
  <si>
    <t>NAYATHODE (Komalapuram)</t>
  </si>
  <si>
    <t>ELOOR</t>
  </si>
  <si>
    <t>ELAVALLY</t>
  </si>
  <si>
    <t>ANTHIKKAD</t>
  </si>
  <si>
    <t>AKATHETHARA (Nadathara)</t>
  </si>
  <si>
    <t>AGALI</t>
  </si>
  <si>
    <t>PUZHAKATRI (Pallickal)</t>
  </si>
  <si>
    <t>SPECTRUM</t>
  </si>
  <si>
    <t>MANGADA</t>
  </si>
  <si>
    <t>PURATHUR</t>
  </si>
  <si>
    <t>MAVOOR</t>
  </si>
  <si>
    <t>THRISSILERY</t>
  </si>
  <si>
    <t>THALASSERY</t>
  </si>
  <si>
    <t>CHALINGAL (Periya)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</si>
</sst>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rgb="FFFFFFFF"/>
      <name val="Calibri"/>
      <scheme val="minor"/>
    </font>
    <font>
      <sz val="10"/>
      <color theme="1"/>
      <name val="Calibri"/>
    </font>
    <font>
      <b/>
      <sz val="10"/>
      <color theme="1"/>
      <name val="Calibri"/>
    </font>
    <font>
      <sz val="11"/>
      <color rgb="FF000000"/>
      <name val="Calibri"/>
      <family val="2"/>
    </font>
    <font>
      <sz val="10"/>
      <color theme="1"/>
      <name val="Arial"/>
      <charset val="1"/>
    </font>
    <font>
      <b/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charset val="1"/>
    </font>
    <font>
      <b/>
      <sz val="10"/>
      <color theme="1"/>
      <name val="Arial"/>
      <charset val="1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sz val="10"/>
      <color rgb="FF000000"/>
      <name val="Arial"/>
      <charset val="1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sz val="11"/>
      <color rgb="FF000000"/>
      <name val="Aptos Narrow"/>
      <charset val="1"/>
    </font>
    <font>
      <sz val="11"/>
      <color rgb="FF000000"/>
      <name val="Calibri"/>
      <scheme val="minor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sz val="11"/>
      <color rgb="FF000000"/>
      <name val="Calibri"/>
      <family val="1"/>
    </font>
    <font>
      <sz val="11"/>
      <color rgb="FFFF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6F8F9"/>
        <bgColor indexed="64"/>
      </patternFill>
    </fill>
    <fill>
      <patternFill patternType="solid">
        <fgColor rgb="FFF6F8F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1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0" fontId="7" fillId="0" borderId="1" xfId="0" applyFont="1" applyBorder="1" applyAlignment="1">
      <alignment readingOrder="1"/>
    </xf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2" borderId="2" xfId="0" applyFont="1" applyFill="1" applyBorder="1"/>
    <xf numFmtId="0" fontId="4" fillId="2" borderId="0" xfId="0" applyFont="1" applyFill="1"/>
    <xf numFmtId="0" fontId="1" fillId="0" borderId="2" xfId="0" applyFont="1" applyBorder="1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7" fillId="0" borderId="2" xfId="0" applyFont="1" applyBorder="1" applyAlignment="1">
      <alignment readingOrder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wrapText="1" readingOrder="1"/>
    </xf>
    <xf numFmtId="0" fontId="11" fillId="0" borderId="1" xfId="0" applyFont="1" applyBorder="1" applyAlignment="1">
      <alignment readingOrder="1"/>
    </xf>
    <xf numFmtId="0" fontId="10" fillId="0" borderId="1" xfId="0" applyFont="1" applyBorder="1" applyAlignment="1">
      <alignment readingOrder="1"/>
    </xf>
    <xf numFmtId="0" fontId="10" fillId="3" borderId="1" xfId="0" applyFont="1" applyFill="1" applyBorder="1" applyAlignment="1">
      <alignment readingOrder="1"/>
    </xf>
    <xf numFmtId="0" fontId="0" fillId="0" borderId="2" xfId="0" applyBorder="1" applyAlignment="1">
      <alignment wrapText="1"/>
    </xf>
    <xf numFmtId="0" fontId="11" fillId="0" borderId="1" xfId="0" applyFont="1" applyBorder="1" applyAlignment="1">
      <alignment wrapText="1" readingOrder="1"/>
    </xf>
    <xf numFmtId="0" fontId="11" fillId="0" borderId="0" xfId="0" applyFont="1"/>
    <xf numFmtId="0" fontId="7" fillId="5" borderId="1" xfId="0" applyFont="1" applyFill="1" applyBorder="1" applyAlignment="1">
      <alignment readingOrder="1"/>
    </xf>
    <xf numFmtId="0" fontId="4" fillId="0" borderId="3" xfId="0" applyFont="1" applyBorder="1"/>
    <xf numFmtId="0" fontId="4" fillId="0" borderId="7" xfId="0" applyFont="1" applyBorder="1"/>
    <xf numFmtId="0" fontId="5" fillId="0" borderId="6" xfId="0" applyFont="1" applyBorder="1"/>
    <xf numFmtId="0" fontId="5" fillId="0" borderId="5" xfId="0" applyFont="1" applyBorder="1" applyAlignment="1">
      <alignment wrapText="1"/>
    </xf>
    <xf numFmtId="0" fontId="4" fillId="0" borderId="5" xfId="0" applyFont="1" applyBorder="1"/>
    <xf numFmtId="0" fontId="5" fillId="0" borderId="8" xfId="0" applyFont="1" applyBorder="1"/>
    <xf numFmtId="0" fontId="4" fillId="0" borderId="9" xfId="0" applyFont="1" applyBorder="1"/>
    <xf numFmtId="0" fontId="4" fillId="0" borderId="4" xfId="0" applyFont="1" applyBorder="1" applyAlignment="1">
      <alignment wrapText="1"/>
    </xf>
    <xf numFmtId="0" fontId="4" fillId="0" borderId="4" xfId="0" applyFont="1" applyBorder="1"/>
    <xf numFmtId="0" fontId="4" fillId="0" borderId="10" xfId="0" applyFont="1" applyBorder="1"/>
    <xf numFmtId="0" fontId="11" fillId="0" borderId="3" xfId="0" applyFont="1" applyBorder="1" applyAlignment="1">
      <alignment readingOrder="1"/>
    </xf>
    <xf numFmtId="0" fontId="7" fillId="0" borderId="3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11" fillId="0" borderId="6" xfId="0" applyFont="1" applyBorder="1" applyAlignment="1">
      <alignment readingOrder="1"/>
    </xf>
    <xf numFmtId="0" fontId="11" fillId="0" borderId="5" xfId="0" applyFont="1" applyBorder="1" applyAlignment="1">
      <alignment readingOrder="1"/>
    </xf>
    <xf numFmtId="0" fontId="11" fillId="5" borderId="5" xfId="0" applyFont="1" applyFill="1" applyBorder="1" applyAlignment="1">
      <alignment readingOrder="1"/>
    </xf>
    <xf numFmtId="0" fontId="11" fillId="0" borderId="8" xfId="0" applyFont="1" applyBorder="1" applyAlignment="1">
      <alignment readingOrder="1"/>
    </xf>
    <xf numFmtId="0" fontId="7" fillId="0" borderId="9" xfId="0" applyFont="1" applyBorder="1" applyAlignment="1">
      <alignment readingOrder="1"/>
    </xf>
    <xf numFmtId="0" fontId="7" fillId="0" borderId="4" xfId="0" applyFont="1" applyBorder="1" applyAlignment="1">
      <alignment readingOrder="1"/>
    </xf>
    <xf numFmtId="0" fontId="7" fillId="0" borderId="4" xfId="0" applyFont="1" applyBorder="1" applyAlignment="1">
      <alignment wrapText="1" readingOrder="1"/>
    </xf>
    <xf numFmtId="0" fontId="7" fillId="4" borderId="1" xfId="0" applyFont="1" applyFill="1" applyBorder="1" applyAlignment="1">
      <alignment readingOrder="1"/>
    </xf>
    <xf numFmtId="0" fontId="7" fillId="0" borderId="5" xfId="0" applyFont="1" applyBorder="1" applyAlignment="1">
      <alignment readingOrder="1"/>
    </xf>
    <xf numFmtId="0" fontId="12" fillId="6" borderId="6" xfId="0" applyFont="1" applyFill="1" applyBorder="1"/>
    <xf numFmtId="0" fontId="13" fillId="6" borderId="6" xfId="0" applyFont="1" applyFill="1" applyBorder="1"/>
    <xf numFmtId="0" fontId="9" fillId="6" borderId="6" xfId="0" applyFont="1" applyFill="1" applyBorder="1"/>
    <xf numFmtId="0" fontId="6" fillId="0" borderId="2" xfId="0" applyFont="1" applyBorder="1"/>
    <xf numFmtId="0" fontId="6" fillId="0" borderId="0" xfId="0" applyFont="1"/>
    <xf numFmtId="0" fontId="7" fillId="0" borderId="11" xfId="0" applyFont="1" applyBorder="1" applyAlignment="1">
      <alignment readingOrder="1"/>
    </xf>
    <xf numFmtId="0" fontId="10" fillId="8" borderId="11" xfId="0" applyFont="1" applyFill="1" applyBorder="1" applyAlignment="1">
      <alignment readingOrder="1"/>
    </xf>
    <xf numFmtId="0" fontId="7" fillId="8" borderId="11" xfId="0" applyFont="1" applyFill="1" applyBorder="1" applyAlignment="1">
      <alignment readingOrder="1"/>
    </xf>
    <xf numFmtId="0" fontId="7" fillId="8" borderId="13" xfId="0" applyFont="1" applyFill="1" applyBorder="1" applyAlignment="1">
      <alignment readingOrder="1"/>
    </xf>
    <xf numFmtId="0" fontId="10" fillId="8" borderId="1" xfId="0" applyFont="1" applyFill="1" applyBorder="1" applyAlignment="1">
      <alignment readingOrder="1"/>
    </xf>
    <xf numFmtId="0" fontId="6" fillId="8" borderId="1" xfId="0" applyFont="1" applyFill="1" applyBorder="1"/>
    <xf numFmtId="0" fontId="6" fillId="8" borderId="7" xfId="0" applyFont="1" applyFill="1" applyBorder="1"/>
    <xf numFmtId="0" fontId="0" fillId="8" borderId="1" xfId="0" applyFill="1" applyBorder="1" applyAlignment="1">
      <alignment vertical="center"/>
    </xf>
    <xf numFmtId="0" fontId="7" fillId="8" borderId="12" xfId="0" applyFont="1" applyFill="1" applyBorder="1" applyAlignment="1">
      <alignment readingOrder="1"/>
    </xf>
    <xf numFmtId="0" fontId="7" fillId="8" borderId="1" xfId="0" applyFont="1" applyFill="1" applyBorder="1" applyAlignment="1">
      <alignment readingOrder="1"/>
    </xf>
    <xf numFmtId="0" fontId="7" fillId="8" borderId="7" xfId="0" applyFont="1" applyFill="1" applyBorder="1" applyAlignment="1">
      <alignment readingOrder="1"/>
    </xf>
    <xf numFmtId="0" fontId="0" fillId="8" borderId="1" xfId="0" applyFill="1" applyBorder="1"/>
    <xf numFmtId="0" fontId="0" fillId="8" borderId="7" xfId="0" applyFill="1" applyBorder="1"/>
    <xf numFmtId="0" fontId="6" fillId="8" borderId="1" xfId="0" applyFont="1" applyFill="1" applyBorder="1" applyAlignment="1">
      <alignment wrapText="1"/>
    </xf>
    <xf numFmtId="0" fontId="15" fillId="8" borderId="11" xfId="0" applyFont="1" applyFill="1" applyBorder="1" applyAlignment="1">
      <alignment readingOrder="1"/>
    </xf>
    <xf numFmtId="0" fontId="17" fillId="8" borderId="1" xfId="0" applyFont="1" applyFill="1" applyBorder="1" applyAlignment="1">
      <alignment readingOrder="1"/>
    </xf>
    <xf numFmtId="0" fontId="18" fillId="8" borderId="1" xfId="0" applyFont="1" applyFill="1" applyBorder="1"/>
    <xf numFmtId="0" fontId="19" fillId="8" borderId="1" xfId="0" applyFont="1" applyFill="1" applyBorder="1"/>
    <xf numFmtId="0" fontId="6" fillId="8" borderId="4" xfId="0" applyFont="1" applyFill="1" applyBorder="1"/>
    <xf numFmtId="0" fontId="6" fillId="8" borderId="10" xfId="0" applyFont="1" applyFill="1" applyBorder="1"/>
    <xf numFmtId="0" fontId="0" fillId="8" borderId="0" xfId="0" applyFill="1"/>
    <xf numFmtId="0" fontId="0" fillId="8" borderId="4" xfId="0" applyFill="1" applyBorder="1"/>
    <xf numFmtId="0" fontId="0" fillId="8" borderId="10" xfId="0" applyFill="1" applyBorder="1"/>
    <xf numFmtId="0" fontId="7" fillId="8" borderId="4" xfId="0" applyFont="1" applyFill="1" applyBorder="1" applyAlignment="1">
      <alignment readingOrder="1"/>
    </xf>
    <xf numFmtId="0" fontId="16" fillId="8" borderId="2" xfId="0" applyFont="1" applyFill="1" applyBorder="1"/>
    <xf numFmtId="0" fontId="6" fillId="8" borderId="6" xfId="0" applyFont="1" applyFill="1" applyBorder="1"/>
    <xf numFmtId="0" fontId="0" fillId="8" borderId="3" xfId="0" applyFill="1" applyBorder="1"/>
    <xf numFmtId="0" fontId="6" fillId="8" borderId="3" xfId="0" applyFont="1" applyFill="1" applyBorder="1"/>
    <xf numFmtId="0" fontId="16" fillId="8" borderId="1" xfId="0" applyFont="1" applyFill="1" applyBorder="1"/>
    <xf numFmtId="0" fontId="7" fillId="0" borderId="12" xfId="0" applyFont="1" applyBorder="1" applyAlignment="1">
      <alignment readingOrder="1"/>
    </xf>
    <xf numFmtId="0" fontId="15" fillId="0" borderId="12" xfId="0" applyFont="1" applyBorder="1" applyAlignment="1">
      <alignment readingOrder="1"/>
    </xf>
    <xf numFmtId="0" fontId="15" fillId="0" borderId="11" xfId="0" applyFont="1" applyBorder="1" applyAlignment="1">
      <alignment readingOrder="1"/>
    </xf>
    <xf numFmtId="0" fontId="7" fillId="0" borderId="14" xfId="0" applyFont="1" applyBorder="1" applyAlignment="1">
      <alignment readingOrder="1"/>
    </xf>
    <xf numFmtId="0" fontId="20" fillId="0" borderId="11" xfId="0" applyFont="1" applyBorder="1" applyAlignment="1">
      <alignment readingOrder="1"/>
    </xf>
    <xf numFmtId="0" fontId="7" fillId="0" borderId="0" xfId="0" applyFont="1"/>
    <xf numFmtId="0" fontId="7" fillId="0" borderId="15" xfId="0" applyFont="1" applyBorder="1" applyAlignment="1">
      <alignment readingOrder="1"/>
    </xf>
    <xf numFmtId="0" fontId="15" fillId="0" borderId="16" xfId="0" applyFont="1" applyBorder="1" applyAlignment="1">
      <alignment readingOrder="1"/>
    </xf>
    <xf numFmtId="0" fontId="21" fillId="0" borderId="16" xfId="0" applyFont="1" applyBorder="1" applyAlignment="1">
      <alignment readingOrder="1"/>
    </xf>
    <xf numFmtId="0" fontId="21" fillId="0" borderId="11" xfId="0" applyFont="1" applyBorder="1" applyAlignment="1">
      <alignment readingOrder="1"/>
    </xf>
    <xf numFmtId="0" fontId="0" fillId="0" borderId="1" xfId="0" applyBorder="1"/>
    <xf numFmtId="0" fontId="0" fillId="8" borderId="4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7" fillId="0" borderId="17" xfId="0" applyFont="1" applyBorder="1" applyAlignment="1">
      <alignment readingOrder="1"/>
    </xf>
    <xf numFmtId="0" fontId="0" fillId="0" borderId="0" xfId="0" applyAlignment="1">
      <alignment horizontal="right"/>
    </xf>
    <xf numFmtId="0" fontId="22" fillId="9" borderId="11" xfId="0" applyFont="1" applyFill="1" applyBorder="1"/>
    <xf numFmtId="0" fontId="21" fillId="9" borderId="11" xfId="0" applyFont="1" applyFill="1" applyBorder="1"/>
    <xf numFmtId="0" fontId="22" fillId="9" borderId="1" xfId="0" applyFont="1" applyFill="1" applyBorder="1"/>
    <xf numFmtId="0" fontId="22" fillId="9" borderId="3" xfId="0" applyFont="1" applyFill="1" applyBorder="1"/>
    <xf numFmtId="0" fontId="22" fillId="9" borderId="5" xfId="0" applyFont="1" applyFill="1" applyBorder="1"/>
    <xf numFmtId="0" fontId="22" fillId="9" borderId="6" xfId="0" applyFont="1" applyFill="1" applyBorder="1"/>
    <xf numFmtId="0" fontId="21" fillId="9" borderId="1" xfId="0" applyFont="1" applyFill="1" applyBorder="1"/>
    <xf numFmtId="0" fontId="21" fillId="9" borderId="3" xfId="0" applyFont="1" applyFill="1" applyBorder="1"/>
    <xf numFmtId="0" fontId="10" fillId="0" borderId="16" xfId="0" applyFont="1" applyBorder="1" applyAlignment="1">
      <alignment readingOrder="1"/>
    </xf>
    <xf numFmtId="0" fontId="8" fillId="7" borderId="6" xfId="0" applyFont="1" applyFill="1" applyBorder="1" applyAlignment="1">
      <alignment horizontal="center"/>
    </xf>
    <xf numFmtId="0" fontId="14" fillId="7" borderId="5" xfId="0" applyFont="1" applyFill="1" applyBorder="1" applyAlignment="1">
      <alignment horizontal="left" vertical="center"/>
    </xf>
    <xf numFmtId="0" fontId="9" fillId="7" borderId="5" xfId="0" applyFont="1" applyFill="1" applyBorder="1"/>
    <xf numFmtId="0" fontId="14" fillId="7" borderId="18" xfId="0" applyFont="1" applyFill="1" applyBorder="1" applyAlignment="1">
      <alignment horizontal="left" vertical="center"/>
    </xf>
    <xf numFmtId="0" fontId="23" fillId="0" borderId="0" xfId="0" applyFont="1"/>
    <xf numFmtId="0" fontId="0" fillId="5" borderId="0" xfId="0" applyFill="1"/>
    <xf numFmtId="0" fontId="10" fillId="0" borderId="2" xfId="0" applyFont="1" applyBorder="1" applyAlignment="1">
      <alignment readingOrder="1"/>
    </xf>
    <xf numFmtId="0" fontId="24" fillId="10" borderId="6" xfId="0" applyFont="1" applyFill="1" applyBorder="1" applyAlignment="1">
      <alignment horizontal="center"/>
    </xf>
    <xf numFmtId="0" fontId="24" fillId="10" borderId="5" xfId="0" applyFont="1" applyFill="1" applyBorder="1" applyAlignment="1">
      <alignment horizontal="center"/>
    </xf>
    <xf numFmtId="0" fontId="24" fillId="10" borderId="5" xfId="0" applyFont="1" applyFill="1" applyBorder="1"/>
    <xf numFmtId="0" fontId="24" fillId="10" borderId="8" xfId="0" applyFont="1" applyFill="1" applyBorder="1"/>
    <xf numFmtId="0" fontId="25" fillId="0" borderId="3" xfId="0" applyFont="1" applyBorder="1"/>
    <xf numFmtId="0" fontId="25" fillId="0" borderId="1" xfId="0" applyFont="1" applyBorder="1"/>
    <xf numFmtId="0" fontId="2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7" fillId="0" borderId="19" xfId="0" applyFont="1" applyBorder="1" applyAlignment="1">
      <alignment readingOrder="1"/>
    </xf>
    <xf numFmtId="0" fontId="7" fillId="0" borderId="12" xfId="0" applyFont="1" applyBorder="1" applyAlignment="1">
      <alignment wrapText="1" readingOrder="1"/>
    </xf>
    <xf numFmtId="0" fontId="7" fillId="0" borderId="11" xfId="0" applyFont="1" applyBorder="1" applyAlignment="1">
      <alignment wrapText="1" readingOrder="1"/>
    </xf>
    <xf numFmtId="0" fontId="6" fillId="0" borderId="11" xfId="0" applyFont="1" applyBorder="1"/>
    <xf numFmtId="0" fontId="8" fillId="0" borderId="4" xfId="0" applyFont="1" applyBorder="1" applyAlignment="1"/>
  </cellXfs>
  <cellStyles count="1">
    <cellStyle name="Normal" xfId="0" builtinId="0"/>
  </cellStyles>
  <dxfs count="180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4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4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7030A0"/>
        </patternFill>
      </fill>
    </dxf>
    <dxf>
      <fill>
        <patternFill patternType="solid">
          <bgColor rgb="FFF576C4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LOW PROFILE SWITCH-style" pivot="0" count="3" xr9:uid="{00000000-0011-0000-FFFF-FFFF00000000}">
      <tableStyleElement type="headerRow" dxfId="179"/>
      <tableStyleElement type="firstRowStripe" dxfId="178"/>
      <tableStyleElement type="secondRowStripe" dxfId="177"/>
    </tableStyle>
    <tableStyle name="ASSISTIVE PENCIL GRIP-style" pivot="0" count="3" xr9:uid="{00000000-0011-0000-FFFF-FFFF01000000}">
      <tableStyleElement type="headerRow" dxfId="176"/>
      <tableStyleElement type="firstRowStripe" dxfId="175"/>
      <tableStyleElement type="secondRowStripe" dxfId="174"/>
    </tableStyle>
    <tableStyle name="TOOTH BRUSH ADAPTER-style" pivot="0" count="3" xr9:uid="{00000000-0011-0000-FFFF-FFFF02000000}">
      <tableStyleElement type="headerRow" dxfId="173"/>
      <tableStyleElement type="firstRowStripe" dxfId="172"/>
      <tableStyleElement type="secondRowStripe" dxfId="171"/>
    </tableStyle>
    <tableStyle name="UTENSIL HOLDER-style" pivot="0" count="3" xr9:uid="{00000000-0011-0000-FFFF-FFFF03000000}">
      <tableStyleElement type="headerRow" dxfId="170"/>
      <tableStyleElement type="firstRowStripe" dxfId="169"/>
      <tableStyleElement type="secondRowStripe" dxfId="168"/>
    </tableStyle>
    <tableStyle name="READING BAR-CURVED-style" pivot="0" count="3" xr9:uid="{00000000-0011-0000-FFFF-FFFF04000000}">
      <tableStyleElement type="headerRow" dxfId="167"/>
      <tableStyleElement type="firstRowStripe" dxfId="166"/>
      <tableStyleElement type="secondRowStripe" dxfId="165"/>
    </tableStyle>
    <tableStyle name="BUTTON AID-style" pivot="0" count="3" xr9:uid="{00000000-0011-0000-FFFF-FFFF05000000}">
      <tableStyleElement type="headerRow" dxfId="164"/>
      <tableStyleElement type="firstRowStripe" dxfId="163"/>
      <tableStyleElement type="secondRowStripe" dxfId="162"/>
    </tableStyle>
    <tableStyle name="PALM PEN HOLDER-style" pivot="0" count="3" xr9:uid="{00000000-0011-0000-FFFF-FFFF06000000}">
      <tableStyleElement type="headerRow" dxfId="161"/>
      <tableStyleElement type="firstRowStripe" dxfId="160"/>
      <tableStyleElement type="secondRowStripe" dxfId="1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A0F62-F1CB-4C34-BA62-BE92F3BA94AD}" name="Table1" displayName="Table1" ref="A2:D10" totalsRowShown="0" headerRowBorderDxfId="157" tableBorderDxfId="158" totalsRowBorderDxfId="156">
  <autoFilter ref="A2:D10" xr:uid="{49DA0F62-F1CB-4C34-BA62-BE92F3BA94AD}"/>
  <tableColumns count="4">
    <tableColumn id="1" xr3:uid="{5196D4EE-9C6E-4592-86D1-47F65C192A83}" name="DEVICE SELECTION" dataDxfId="155"/>
    <tableColumn id="2" xr3:uid="{CD61896E-8E97-41E9-A1DD-94145ABA0CBB}" name="COUNT" dataDxfId="154"/>
    <tableColumn id="3" xr3:uid="{BCEE7896-9B39-4163-A6F9-7CE5D40A41E3}" name="Column1" dataDxfId="153"/>
    <tableColumn id="4" xr3:uid="{64ECC2B6-EC3E-498B-B7B8-B8D4E46E6C58}" name="TOTAL COUNT" dataDxfId="15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48427-569B-4EA7-8F0E-F7F1F9E4F202}" name="Table2" displayName="Table2" ref="A32:L84" totalsRowShown="0" headerRowDxfId="151" dataDxfId="150" headerRowBorderDxfId="148" tableBorderDxfId="149" totalsRowBorderDxfId="147">
  <autoFilter ref="A32:L84" xr:uid="{CE148427-569B-4EA7-8F0E-F7F1F9E4F202}"/>
  <tableColumns count="12">
    <tableColumn id="1" xr3:uid="{B512F08B-0322-4E05-825E-ECE1A31888C2}" name="BUDS SCHOOL" dataDxfId="146"/>
    <tableColumn id="2" xr3:uid="{50D08B1C-31B2-4A34-B521-C4A5BFE209DC}" name="DISTRICT" dataDxfId="145"/>
    <tableColumn id="3" xr3:uid="{6DDAE21D-2B11-49E6-B6AE-A5544759EFB5}" name="STUDENT COUNT" dataDxfId="144"/>
    <tableColumn id="4" xr3:uid="{D4F0437E-292C-4806-98DA-8E54D9ED8CF6}" name="ASSISTIVE PENCIL GRIP" dataDxfId="143"/>
    <tableColumn id="5" xr3:uid="{911576C2-85D8-433F-8DDD-C6E14713A27D}" name="BUTTON AID" dataDxfId="142"/>
    <tableColumn id="6" xr3:uid="{CA80197C-B8A0-475D-9A82-247212430A5C}" name="LOW PROFILE SWITCH" dataDxfId="141"/>
    <tableColumn id="7" xr3:uid="{F3BFFBB3-5274-4F78-ABD5-D338B1C2FB61}" name="PALM PEN HOLDER" dataDxfId="140"/>
    <tableColumn id="8" xr3:uid="{B98A7F51-1DD0-4031-BF5F-8FCBAF65D18B}" name="READING BAR - CURVED" dataDxfId="139"/>
    <tableColumn id="9" xr3:uid="{483BC195-606F-4F13-8C15-D13979D8B6E8}" name="TOOTH BRUSH ADAPTER" dataDxfId="138"/>
    <tableColumn id="10" xr3:uid="{1685219F-775B-4045-8F51-FD1751E92B43}" name="UTENSIL HOLDER" dataDxfId="137"/>
    <tableColumn id="11" xr3:uid="{35E0B6DC-0B85-4B5D-921F-D4264CA46F02}" name="DEVICE COUNT" dataDxfId="136">
      <calculatedColumnFormula>SUM(Table2[[#This Row],[ASSISTIVE PENCIL GRIP]:[UTENSIL HOLDER]])</calculatedColumnFormula>
    </tableColumn>
    <tableColumn id="12" xr3:uid="{497BF8C6-166E-4F1A-B7CE-BF6DF7ADD3B8}" name="DC-LPS" dataDxfId="135">
      <calculatedColumnFormula>Table2[[#This Row],[DEVICE COUNT]]-Table2[[#This Row],[LOW PROFILE SWITCH]]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210971-769E-4B5E-9813-CC2B380DBCD9}" name="Table3" displayName="Table3" ref="A14:I29" totalsRowShown="0" headerRowDxfId="134" dataDxfId="133" tableBorderDxfId="132">
  <autoFilter ref="A14:I29" xr:uid="{3D210971-769E-4B5E-9813-CC2B380DBCD9}"/>
  <tableColumns count="9">
    <tableColumn id="1" xr3:uid="{44268FEC-F42A-4C7D-BB7C-11D0BDD677E8}" name="DISTRICT" dataDxfId="131"/>
    <tableColumn id="2" xr3:uid="{F40335B9-1272-492F-A6F5-BF0B778D5868}" name="Assistive Pencil Grip" dataDxfId="130"/>
    <tableColumn id="3" xr3:uid="{CD9E2070-04EA-4A6A-AD80-BF8C8422575A}" name="BUTTON AID" dataDxfId="129"/>
    <tableColumn id="4" xr3:uid="{283D176E-ADE4-4A2D-A3E2-C33A104127A2}" name="LOW PROFILE SWITCH" dataDxfId="128"/>
    <tableColumn id="5" xr3:uid="{46959ED9-CD8F-416B-B2A1-9E0F413328DD}" name="PALM PEN HOLDER" dataDxfId="127"/>
    <tableColumn id="6" xr3:uid="{1075D6AD-40B9-42C1-A938-777B185C2DB8}" name="READING BAR - CURVED" dataDxfId="126"/>
    <tableColumn id="7" xr3:uid="{2829A1B3-0259-4680-B9E0-961FEA712281}" name="TOOTH BRUSH ADAPTER" dataDxfId="125"/>
    <tableColumn id="8" xr3:uid="{F928301B-F0C4-4862-A96F-8058D3F0F164}" name="UTENSIL HOLDER" dataDxfId="124"/>
    <tableColumn id="9" xr3:uid="{CA221BF6-72CC-4037-BB6A-18D7F9C473A0}" name="GRAND TOTAL" dataDxfId="12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65547F-D8ED-4259-A5BE-811E5646BF35}" name="Table8" displayName="Table8" ref="A1:L377" totalsRowShown="0">
  <autoFilter ref="A1:L377" xr:uid="{4565547F-D8ED-4259-A5BE-811E5646BF35}">
    <filterColumn colId="11">
      <filters>
        <filter val="LOW PROFILE SWITCH"/>
      </filters>
    </filterColumn>
  </autoFilter>
  <sortState xmlns:xlrd2="http://schemas.microsoft.com/office/spreadsheetml/2017/richdata2" ref="A2:L371">
    <sortCondition ref="F1:F371"/>
  </sortState>
  <tableColumns count="12">
    <tableColumn id="1" xr3:uid="{664390E0-3E21-4407-8DD1-6731655D0BAA}" name="COUNT "/>
    <tableColumn id="2" xr3:uid="{41EE0CB1-34F9-44C7-B44B-6256E767CB6E}" name="DISTRICT"/>
    <tableColumn id="3" xr3:uid="{1D6E5BD0-596C-46AB-9182-7C1895D314DB}" name="STUDENT_ID"/>
    <tableColumn id="4" xr3:uid="{0AA1E539-5447-4FA2-9B28-A75916889130}" name="STUDENT NAME"/>
    <tableColumn id="5" xr3:uid="{603AC176-5B5E-4D76-AF55-15E678DE1F57}" name="DISABILITY"/>
    <tableColumn id="6" xr3:uid="{28598DC9-77E3-4BB3-9785-AE369CB49A6A}" name="BUDS SCHOOL"/>
    <tableColumn id="7" xr3:uid="{49C03351-3D8D-4409-A997-9192D9C4DA95}" name="LENGTH"/>
    <tableColumn id="8" xr3:uid="{8224D8C7-A48D-46C6-ADA4-0966FBEED856}" name="WIDTH"/>
    <tableColumn id="9" xr3:uid="{46287AD6-56E7-44F0-8583-21A5FE7B66E9}" name="SIZE1"/>
    <tableColumn id="10" xr3:uid="{428903D2-9B0B-41F3-A4B7-8C4D7F307134}" name="SIZE2"/>
    <tableColumn id="11" xr3:uid="{BF63864E-B355-404E-AFA4-C2ACA471885B}" name="SIZE3"/>
    <tableColumn id="12" xr3:uid="{89A6C177-5174-46FC-AD1D-2E1F3D96CE50}" name="PREFERENC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3D02D9B0-9347-4A65-A3CB-79807CA3FE73}" name="Table543" displayName="Table543" ref="P4:S19" totalsRowShown="0">
  <autoFilter ref="P4:S19" xr:uid="{3D02D9B0-9347-4A65-A3CB-79807CA3FE73}"/>
  <tableColumns count="4">
    <tableColumn id="1" xr3:uid="{84F5E86A-DD9D-4422-9E96-F96E2A7EB3AA}" name="Sl. No." dataDxfId="122"/>
    <tableColumn id="2" xr3:uid="{6F1C1CA6-30B2-4D7C-9C3D-C841BF4F48A6}" name="DISTRICTS" dataDxfId="121"/>
    <tableColumn id="3" xr3:uid="{1950BF55-EF21-468C-B43C-526479D41B18}" name="STUDENTS" dataDxfId="120">
      <calculatedColumnFormula>COUNTIF($B$2:$B$503,Q5)</calculatedColumnFormula>
    </tableColumn>
    <tableColumn id="4" xr3:uid="{DBB38452-7CB8-4BAA-942D-C51B85177027}" name="DEVICES" dataDxfId="119">
      <calculatedColumnFormula array="1">SUMPRODUCT((#REF!=Q5)*(#REF!&lt;&gt;""))</calculatedColumnFormula>
    </tableColumn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A6554C-AD29-42CE-9BC5-CC3012D8CBED}" name="Table4" displayName="Table4" ref="R2:AA12" totalsRowShown="0">
  <autoFilter ref="R2:AA12" xr:uid="{17A6554C-AD29-42CE-9BC5-CC3012D8CBED}"/>
  <tableColumns count="10">
    <tableColumn id="4" xr3:uid="{0C83EB04-3EBA-4E20-B0EF-80D88C963BF1}" name="Sl. No." dataDxfId="105"/>
    <tableColumn id="1" xr3:uid="{27603C2B-95FF-4F71-8E77-218D08D63A1C}" name="ITEM" dataDxfId="104"/>
    <tableColumn id="2" xr3:uid="{EBF9F258-092F-48F2-B61A-B9CAC4554F9F}" name="STUDENTS"/>
    <tableColumn id="3" xr3:uid="{34ECE3D9-10BC-42BC-91FD-7D1EBCF83AEC}" name="DEVICES" dataDxfId="103"/>
    <tableColumn id="5" xr3:uid="{98F05532-6ECB-44A8-AB40-70D25D020A9C}" name="KDISC STOCK"/>
    <tableColumn id="7" xr3:uid="{2ABDB46B-E137-477E-A7F4-1449FE06CB53}" name="ADARSH STOCK"/>
    <tableColumn id="9" xr3:uid="{4AD53F0B-8946-48D1-8E5C-FC9E2412BB8B}" name="VALAKKAYAM STOCK"/>
    <tableColumn id="10" xr3:uid="{7BC7ABDF-EFA5-45C9-8A29-71DB4BBB7DDE}" name="ORDERED"/>
    <tableColumn id="6" xr3:uid="{A1857C4B-7A2A-490A-A695-545FA91A640E}" name="Pending purchase" dataDxfId="102">
      <calculatedColumnFormula>U4-V4</calculatedColumnFormula>
    </tableColumn>
    <tableColumn id="8" xr3:uid="{884284D2-1FC9-4FAC-BCD1-9B4F356EA062}" name="Column1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421EBA-9314-424D-93BC-C765446F08D5}" name="Table5" displayName="Table5" ref="R14:U29" totalsRowShown="0">
  <autoFilter ref="R14:U29" xr:uid="{97421EBA-9314-424D-93BC-C765446F08D5}"/>
  <tableColumns count="4">
    <tableColumn id="1" xr3:uid="{DA4151D7-F0AB-4E75-9079-9592B41944A4}" name="Sl. No." dataDxfId="101"/>
    <tableColumn id="2" xr3:uid="{C7826B4B-1EA5-443A-9387-76BD2B647AF4}" name="DISTRICTS" dataDxfId="100"/>
    <tableColumn id="3" xr3:uid="{DFDCA3FE-37FD-484F-89AD-CD61A9CDB8EF}" name="STUDENTS" dataDxfId="99">
      <calculatedColumnFormula>COUNTIF($B$2:$B$503,S15)</calculatedColumnFormula>
    </tableColumn>
    <tableColumn id="4" xr3:uid="{D2DD8F8A-8BB9-4AC2-B3BC-B5178D4C72CD}" name="DEVICES" dataDxfId="98">
      <calculatedColumnFormula array="1">SUMPRODUCT((B2:B503=S15)*(K2:M503&lt;&gt;""))</calculatedColumnFormula>
    </tableColumn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3AC93B-F6E2-4D31-85CE-BA8B3683A90C}" name="Table57" displayName="Table57" ref="R31:T46" totalsRowShown="0">
  <autoFilter ref="R31:T46" xr:uid="{E73AC93B-F6E2-4D31-85CE-BA8B3683A90C}"/>
  <tableColumns count="3">
    <tableColumn id="1" xr3:uid="{77664847-B3B5-4CEB-A35E-DB103AA1ADDE}" name="Sl. No." dataDxfId="97"/>
    <tableColumn id="2" xr3:uid="{156493FD-D204-4EF0-9519-C6D2F3FBE481}" name="DISTRICTS" dataDxfId="96"/>
    <tableColumn id="4" xr3:uid="{78335C55-6ABB-465F-8DDD-8D228AF884E6}" name="LPS" dataDxfId="95">
      <calculatedColumnFormula array="1">SUMPRODUCT((B19:B520=S32)*(K19:M520&lt;&gt;""))</calculatedColumnFormula>
    </tableColumn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0F126B-6BDB-49B0-A144-C143184D5C1E}" name="Table58" displayName="Table58" ref="W14:Z29" totalsRowShown="0">
  <autoFilter ref="W14:Z29" xr:uid="{2C0F126B-6BDB-49B0-A144-C143184D5C1E}"/>
  <tableColumns count="4">
    <tableColumn id="1" xr3:uid="{A6D16DB8-B714-409B-B22F-194A3B8A68FB}" name="Sl. No." dataDxfId="94"/>
    <tableColumn id="2" xr3:uid="{AAAF3366-8942-4A4B-9E51-0AA468A67730}" name="DISTRICTS" dataDxfId="93"/>
    <tableColumn id="3" xr3:uid="{35CC5F47-5E1A-44EC-BDBD-55C87C9F5CFB}" name="STUDENTS" dataDxfId="92">
      <calculatedColumnFormula>COUNTIF($B$2:$B$503,X15)</calculatedColumnFormula>
    </tableColumn>
    <tableColumn id="4" xr3:uid="{C30B6CFE-466F-4C01-95C4-C4A94B5C6723}" name="DEVICES" dataDxfId="91">
      <calculatedColumnFormula array="1">SUMPRODUCT(($B$2:$B$503=X15)*($K$2:$M$503&lt;&gt;"")*($K$2:$M$503&lt;&gt;"LP-999"))</calculatedColumnFormula>
    </tableColumn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D8348D3-4BB2-43F0-A518-98E5DB40DE66}" name="Table16" displayName="Table16" ref="A1:N503" totalsRowShown="0" headerRowDxfId="90" dataDxfId="89" tableBorderDxfId="88">
  <autoFilter ref="A1:N503" xr:uid="{A7DFB4ED-7A4B-4C7A-9D92-71C45BED51BF}">
    <filterColumn colId="6">
      <filters>
        <filter val="ADARSH SCHOOL"/>
        <filter val="AGALI BUDS"/>
        <filter val="BODHINI BUDS SCHOOL"/>
        <filter val="BUDS REHABILITATION CENTRE AKATHETHARA"/>
        <filter val="BUDS SCHOOL CHEMMARUTHY"/>
        <filter val="BUDS SCHOOL ITTIVA"/>
        <filter val="BUDS SCHOOL MALAYALAPPUZHA"/>
        <filter val="BUDS SCHOOL NARANAMMOOZHY"/>
        <filter val="BUDS SCHOOL POOVACHAL"/>
        <filter val="BUDS SPECIAL SCHOOL ELAMPALLOOR"/>
        <filter val="BUDS SPECIAL SCHOOL MAYYANAD"/>
        <filter val="BUDS SPECIAL SCHOOL SOORANAD SOUTH"/>
        <filter val="ELAKAMON GRAMAPANCHAYATH BUDS SCHOOL"/>
        <filter val="KADAKKAL GRAMAPANCHAYATH BUDS SCHOOL AND REHABILITATION CENTER"/>
        <filter val="KULATHUPPUZHA GRAMAPANCHAYATH BUDS SCHOOL"/>
        <filter val="MAHATHMAJI BUDS SCHOOL VILAPPILSALA"/>
        <filter val="MANOVIKASKENDRA BUDS SCHOOL KAPIL"/>
        <filter val="NAVJYOTHI BUDS SCHOOL PALLICHAL"/>
        <filter val="PERINAD BUDS SCHOOL"/>
        <filter val="PRATHEEKSHA BUDS SCHOOL PUNALUR"/>
        <filter val="SANJOE SADAN SPECIAL SCHOOL THURAVOOR"/>
        <filter val="SANTHWANAM BUDS SCHOOL CHIRAYINKEEZHU"/>
        <filter val="STAR BUDS SCHOOL MARANALLOOR"/>
      </filters>
    </filterColumn>
    <filterColumn colId="13">
      <filters>
        <filter val="Assistive Pencil Grip"/>
        <filter val="Button Aid"/>
        <filter val="Palm Pen Holder"/>
        <filter val="Reading Bar - Curved"/>
        <filter val="TOOTH  BRUSH ADAPTER"/>
        <filter val="Utensil Holder"/>
      </filters>
    </filterColumn>
  </autoFilter>
  <tableColumns count="14">
    <tableColumn id="1" xr3:uid="{8B0C031F-1F7F-42B4-938E-A388DDC5E8B2}" name="COUNT " dataDxfId="87"/>
    <tableColumn id="2" xr3:uid="{D4CFF220-67F6-4CA7-80B0-5C075F6B60D5}" name="DISTRICT" dataDxfId="86"/>
    <tableColumn id="3" xr3:uid="{86ED0E85-FF60-4637-BE13-9D51B991A04D}" name="STUDENT_ID" dataDxfId="85"/>
    <tableColumn id="4" xr3:uid="{EFC27403-DA04-4CAF-A6E4-7BA32848C95A}" name="STUDENT NAME" dataDxfId="84"/>
    <tableColumn id="5" xr3:uid="{439BE8DC-D37B-475D-B0ED-139954BF6060}" name="AGE" dataDxfId="83"/>
    <tableColumn id="6" xr3:uid="{BCB07974-4538-45FA-97BA-D200D1E34C76}" name="DISABILITY" dataDxfId="82"/>
    <tableColumn id="7" xr3:uid="{F073DC48-D35E-42F8-AF7C-F51389597DEB}" name="BUDS SCHOOL" dataDxfId="81"/>
    <tableColumn id="8" xr3:uid="{CFDE9FBA-D5CE-4B77-90CE-8171D6B0A172}" name="TEACHER'S NAME" dataDxfId="80"/>
    <tableColumn id="9" xr3:uid="{9D5AD60C-F008-492F-9A5A-2A5776ED7426}" name="LENGTH" dataDxfId="79"/>
    <tableColumn id="10" xr3:uid="{6E3C9BE0-A269-46DB-9F8D-5A22543401B6}" name="WIDTH" dataDxfId="78"/>
    <tableColumn id="11" xr3:uid="{FD70E650-1779-4A06-8067-D8302341B77F}" name="SIZE1" dataDxfId="77"/>
    <tableColumn id="12" xr3:uid="{4063643A-C45B-4FFF-AB49-6CA68EB1DD04}" name="SIZE2" dataDxfId="76"/>
    <tableColumn id="13" xr3:uid="{5C4EBA18-5BF4-4F92-B25A-B79A8CCFCBD6}" name="SIZE3" dataDxfId="75"/>
    <tableColumn id="14" xr3:uid="{A40D8DFD-17A7-4461-966F-4BE3075A81E7}" name="PREFERENCE" dataDxfId="74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7E55123-E6FB-4AFC-8479-C299FCCCD115}" name="Table171314" displayName="Table171314" ref="AL1:AL13" totalsRowShown="0" dataDxfId="73" tableBorderDxfId="72">
  <autoFilter ref="AL1:AL13" xr:uid="{7B7C4AFC-D9C4-42EE-B78D-95CD266323C4}"/>
  <tableColumns count="1">
    <tableColumn id="1" xr3:uid="{ABEB4DB4-6B6D-4F84-BF7F-772D66C1565D}" name="SCHOOL LIST" dataDxfId="7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C581690-8ED2-49B2-AF14-5CCB6817A38A}" name="Table142116" displayName="Table142116" ref="AM3:AO12" totalsRowShown="0">
  <autoFilter ref="AM3:AO12" xr:uid="{53B3DDAD-8336-4EBE-AFBA-7202509003BF}"/>
  <tableColumns count="3">
    <tableColumn id="1" xr3:uid="{89753636-6D3E-4939-BDA2-F3F0CBE259F0}" name="Sl. No."/>
    <tableColumn id="2" xr3:uid="{96A377F7-F175-4EA9-B949-97F393E89204}" name="ITEM"/>
    <tableColumn id="3" xr3:uid="{70977A72-6427-4FA3-B119-36377D104594}" name="STUDENTS"/>
  </tableColumns>
  <tableStyleInfo name="TableStyleLight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BE5591-DE8D-4401-BC70-50A6A7EF991E}" name="Table1713141118" displayName="Table1713141118" ref="AL1:AL13" totalsRowShown="0" dataDxfId="70" tableBorderDxfId="69">
  <autoFilter ref="AL1:AL13" xr:uid="{7B7C4AFC-D9C4-42EE-B78D-95CD266323C4}"/>
  <tableColumns count="1">
    <tableColumn id="1" xr3:uid="{C37A434F-3DCA-411B-9527-81D83E24C4A7}" name="SCHOOL LIST" dataDxfId="68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449DF93-B2DB-41CF-A82B-5B62B1082F8B}" name="Table1421161320" displayName="Table1421161320" ref="AM3:AO12" totalsRowShown="0">
  <autoFilter ref="AM3:AO12" xr:uid="{53B3DDAD-8336-4EBE-AFBA-7202509003BF}"/>
  <tableColumns count="3">
    <tableColumn id="1" xr3:uid="{8D596CB5-A315-4737-A70B-50B25F811502}" name="Sl. No."/>
    <tableColumn id="2" xr3:uid="{DB782EDA-258A-4DF8-B126-7D6DAD90043B}" name="ITEM"/>
    <tableColumn id="3" xr3:uid="{F16E0A32-4FB0-43A5-827F-1BB8BF0DD6D4}" name="STUDENTS"/>
  </tableColumns>
  <tableStyleInfo name="TableStyleLight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415A83-1B45-4806-9FA8-111F3A7A9522}" name="Table17131411212415" displayName="Table17131411212415" ref="AL1:AL13" totalsRowShown="0" dataDxfId="67" tableBorderDxfId="66">
  <autoFilter ref="AL1:AL13" xr:uid="{7B7C4AFC-D9C4-42EE-B78D-95CD266323C4}"/>
  <tableColumns count="1">
    <tableColumn id="1" xr3:uid="{A354ED58-8A63-43EB-B520-F7FEAC400D9A}" name="SCHOOL LIST" dataDxfId="65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3FFF014-275D-4C30-B151-C64777523058}" name="Table14211613222519" displayName="Table14211613222519" ref="AM3:AO12" totalsRowShown="0">
  <autoFilter ref="AM3:AO12" xr:uid="{53B3DDAD-8336-4EBE-AFBA-7202509003BF}"/>
  <tableColumns count="3">
    <tableColumn id="1" xr3:uid="{68CCB34E-DDC1-497C-B4F0-644B23B809CC}" name="Sl. No."/>
    <tableColumn id="2" xr3:uid="{786E4E85-5F88-487F-91BB-7F16BE0218B0}" name="ITEM"/>
    <tableColumn id="3" xr3:uid="{5E1B3955-B4FA-46E9-A261-4086DF25BDAB}" name="STUDENTS"/>
  </tableColumns>
  <tableStyleInfo name="TableStyleLight1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D85A7FB-E18B-49C0-9090-712E65F9E07B}" name="Table1713141121" displayName="Table1713141121" ref="AL1:AL13" totalsRowShown="0" dataDxfId="64" tableBorderDxfId="63">
  <autoFilter ref="AL1:AL13" xr:uid="{7B7C4AFC-D9C4-42EE-B78D-95CD266323C4}"/>
  <tableColumns count="1">
    <tableColumn id="1" xr3:uid="{FE67D7EC-C572-46A4-A3C7-ED5FDB29032B}" name="SCHOOL LIST" dataDxfId="62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AF33086-9EB3-4AD9-8F1C-2BC8C8EC3E82}" name="Table1421161322" displayName="Table1421161322" ref="AM3:AO12" totalsRowShown="0">
  <autoFilter ref="AM3:AO12" xr:uid="{53B3DDAD-8336-4EBE-AFBA-7202509003BF}"/>
  <tableColumns count="3">
    <tableColumn id="1" xr3:uid="{2F3CF203-5048-413A-B1D2-124CC3444FE7}" name="Sl. No."/>
    <tableColumn id="2" xr3:uid="{05A24DB2-A707-4786-9FF4-443F4D3DEFFC}" name="ITEM"/>
    <tableColumn id="3" xr3:uid="{385F61DC-F5E2-47A5-99BF-DF1058BC8849}" name="STUDENTS"/>
  </tableColumns>
  <tableStyleInfo name="TableStyleLight1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5BF6FA-3FE4-49CF-8813-092982A27C52}" name="Table17131411" displayName="Table17131411" ref="AL1:AL13" totalsRowShown="0" dataDxfId="61" tableBorderDxfId="60">
  <autoFilter ref="AL1:AL13" xr:uid="{7B7C4AFC-D9C4-42EE-B78D-95CD266323C4}"/>
  <tableColumns count="1">
    <tableColumn id="1" xr3:uid="{12CB24BD-F451-4A6F-86D1-571C8666F4E7}" name="SCHOOL LIST" dataDxfId="59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8DCBB6-FDED-42A1-BD3B-794424BBD798}" name="Table14211613" displayName="Table14211613" ref="AM3:AO12" totalsRowShown="0">
  <autoFilter ref="AM3:AO12" xr:uid="{53B3DDAD-8336-4EBE-AFBA-7202509003BF}"/>
  <tableColumns count="3">
    <tableColumn id="1" xr3:uid="{7620AEAE-BFF7-4639-91D7-7E64A7B99638}" name="Sl. No."/>
    <tableColumn id="2" xr3:uid="{D151F493-4123-43DA-8838-31C1CD03940C}" name="ITEM"/>
    <tableColumn id="3" xr3:uid="{E6E06AB5-F4C2-4A01-9254-C7A7B44ADA28}" name="STUDENTS"/>
  </tableColumns>
  <tableStyleInfo name="TableStyleLight1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F67FE8A-37AB-42DC-88C0-C3640710FCF5}" name="Table17131411212431" displayName="Table17131411212431" ref="AL1:AL13" totalsRowShown="0" dataDxfId="58" tableBorderDxfId="57">
  <autoFilter ref="AL1:AL13" xr:uid="{7B7C4AFC-D9C4-42EE-B78D-95CD266323C4}"/>
  <tableColumns count="1">
    <tableColumn id="1" xr3:uid="{1736CEFB-0880-4F8B-8AAB-36252754C71A}" name="SCHOOL LIST" dataDxfId="56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A3D41BE-8992-4524-B805-C83C4292DAD2}" name="Table14211613222532" displayName="Table14211613222532" ref="AM3:AO12" totalsRowShown="0">
  <autoFilter ref="AM3:AO12" xr:uid="{53B3DDAD-8336-4EBE-AFBA-7202509003BF}"/>
  <tableColumns count="3">
    <tableColumn id="1" xr3:uid="{D64959C9-54A3-45F5-B9F7-3DE1126C2ECF}" name="Sl. No."/>
    <tableColumn id="2" xr3:uid="{61F8D6C4-AF45-4000-8599-EE52F691587C}" name="ITEM"/>
    <tableColumn id="3" xr3:uid="{D6525D6C-204D-4325-BFE9-D83D82353A6D}" name="STUDENTS"/>
  </tableColumns>
  <tableStyleInfo name="TableStyleLight1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20AEE0D-A448-45AA-88B0-92FFB5DBD0DA}" name="Table17131411212435" displayName="Table17131411212435" ref="AL1:AL13" totalsRowShown="0" dataDxfId="55" tableBorderDxfId="54">
  <autoFilter ref="AL1:AL13" xr:uid="{7B7C4AFC-D9C4-42EE-B78D-95CD266323C4}"/>
  <tableColumns count="1">
    <tableColumn id="1" xr3:uid="{3BA489A2-2FD6-4725-B9F2-B88DCF9026F1}" name="SCHOOL LIST" dataDxfId="53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3ECEA60-CDEA-48F4-BB29-29E78B3A45D7}" name="Table14211613222536" displayName="Table14211613222536" ref="AM3:AO12" totalsRowShown="0">
  <autoFilter ref="AM3:AO12" xr:uid="{53B3DDAD-8336-4EBE-AFBA-7202509003BF}"/>
  <tableColumns count="3">
    <tableColumn id="1" xr3:uid="{BE7DC233-8ABA-4264-9B0F-44E588DC3B9D}" name="Sl. No."/>
    <tableColumn id="2" xr3:uid="{31D05115-48EE-4523-8FC2-C73043AC6737}" name="ITEM"/>
    <tableColumn id="3" xr3:uid="{F8485930-B1D9-4AA9-B2E6-71F859BE00A2}" name="STUDENTS"/>
  </tableColumns>
  <tableStyleInfo name="TableStyleLight1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8C564AB-D67C-4DA2-9FB9-30A05C52354E}" name="Table17131411212433" displayName="Table17131411212433" ref="AL1:AL13" totalsRowShown="0" dataDxfId="52" tableBorderDxfId="51">
  <autoFilter ref="AL1:AL13" xr:uid="{7B7C4AFC-D9C4-42EE-B78D-95CD266323C4}"/>
  <tableColumns count="1">
    <tableColumn id="1" xr3:uid="{E8B23D96-E549-4A09-AD94-1D09C7563A71}" name="SCHOOL LIST" dataDxfId="50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BFAFB66-7E46-4BCB-B608-E77B8AAF5E21}" name="Table14211613222534" displayName="Table14211613222534" ref="AM3:AO12" totalsRowShown="0">
  <autoFilter ref="AM3:AO12" xr:uid="{53B3DDAD-8336-4EBE-AFBA-7202509003BF}"/>
  <tableColumns count="3">
    <tableColumn id="1" xr3:uid="{2DE165DC-1545-4A4D-9F27-20D6201A8458}" name="Sl. No."/>
    <tableColumn id="2" xr3:uid="{E682919D-8FAE-4238-8DA0-831EB201E278}" name="ITEM"/>
    <tableColumn id="3" xr3:uid="{795B0554-6EC6-4021-B90D-9CFE4C7FB815}" name="STUDENTS"/>
  </tableColumns>
  <tableStyleInfo name="TableStyleLight1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C81E6A1-1BEA-4418-86E0-E0E84B887549}" name="Table17131411212437" displayName="Table17131411212437" ref="AL1:AL13" totalsRowShown="0" dataDxfId="49" tableBorderDxfId="48">
  <autoFilter ref="AL1:AL13" xr:uid="{7B7C4AFC-D9C4-42EE-B78D-95CD266323C4}"/>
  <tableColumns count="1">
    <tableColumn id="1" xr3:uid="{335CC557-F6BB-407B-8F05-D48ED1F0D7E0}" name="SCHOOL LIST" dataDxfId="47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31A98FF-02DB-45F8-9357-6F334D90D798}" name="Table14211613222538" displayName="Table14211613222538" ref="AM3:AO12" totalsRowShown="0">
  <autoFilter ref="AM3:AO12" xr:uid="{53B3DDAD-8336-4EBE-AFBA-7202509003BF}"/>
  <tableColumns count="3">
    <tableColumn id="1" xr3:uid="{CECCF30C-403C-4DE8-9FB8-DE0B50097054}" name="Sl. No."/>
    <tableColumn id="2" xr3:uid="{2ED95A0F-893D-4758-8304-257A43FE438B}" name="ITEM"/>
    <tableColumn id="3" xr3:uid="{F226A1C9-ADEF-4F88-B182-E803923DF538}" name="STUDENTS"/>
  </tableColumns>
  <tableStyleInfo name="TableStyleLight14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52AEDB6-98AE-4FA6-8410-7415608357B7}" name="Table17131411212441" displayName="Table17131411212441" ref="AL1:AL13" totalsRowShown="0" dataDxfId="46" tableBorderDxfId="45">
  <autoFilter ref="AL1:AL13" xr:uid="{7B7C4AFC-D9C4-42EE-B78D-95CD266323C4}"/>
  <tableColumns count="1">
    <tableColumn id="1" xr3:uid="{1BEE3474-7882-46E3-AA92-F3AE63FE3F8C}" name="SCHOOL LIST" dataDxfId="44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D0CD353-EA10-4417-8B54-732E838E3A09}" name="Table14211613222542" displayName="Table14211613222542" ref="AM3:AO12" totalsRowShown="0">
  <autoFilter ref="AM3:AO12" xr:uid="{53B3DDAD-8336-4EBE-AFBA-7202509003BF}"/>
  <tableColumns count="3">
    <tableColumn id="1" xr3:uid="{C914C04D-33DA-4CF7-8C18-905D13FC8E09}" name="Sl. No."/>
    <tableColumn id="2" xr3:uid="{E6D4CB1C-FD6A-45ED-9FE8-90CC455D7AD3}" name="ITEM"/>
    <tableColumn id="3" xr3:uid="{EBBA21A0-55FB-456E-BD75-59D0BF48A0F9}" name="STUDENTS"/>
  </tableColumns>
  <tableStyleInfo name="TableStyleLight14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8EFD9AC-A721-41DF-8866-F5D73E1F67B7}" name="Table17131411212439" displayName="Table17131411212439" ref="AL1:AL13" totalsRowShown="0" dataDxfId="43" tableBorderDxfId="42">
  <autoFilter ref="AL1:AL13" xr:uid="{7B7C4AFC-D9C4-42EE-B78D-95CD266323C4}"/>
  <tableColumns count="1">
    <tableColumn id="1" xr3:uid="{2F028240-9A5B-466F-A129-73F92D96CBAF}" name="SCHOOL LIST" dataDxfId="41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9FE0F8E-A7F2-47A3-A587-E9AEA213F9D5}" name="Table14211613222540" displayName="Table14211613222540" ref="AM3:AO12" totalsRowShown="0">
  <autoFilter ref="AM3:AO12" xr:uid="{53B3DDAD-8336-4EBE-AFBA-7202509003BF}"/>
  <tableColumns count="3">
    <tableColumn id="1" xr3:uid="{EA548471-2812-496A-9481-9B8EB6246E88}" name="Sl. No."/>
    <tableColumn id="2" xr3:uid="{E7F23947-E09A-4D38-ACC6-450CDAAC4716}" name="ITEM"/>
    <tableColumn id="3" xr3:uid="{1E953E86-EF91-446A-9FA0-8D4B41D84C0E}" name="STUDENTS"/>
  </tableColumns>
  <tableStyleInfo name="TableStyleLight1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031C4D6-91F3-46B2-888E-7349783960A2}" name="Table171314112124" displayName="Table171314112124" ref="AL1:AL13" totalsRowShown="0" dataDxfId="40" tableBorderDxfId="39">
  <autoFilter ref="AL1:AL13" xr:uid="{7B7C4AFC-D9C4-42EE-B78D-95CD266323C4}"/>
  <tableColumns count="1">
    <tableColumn id="1" xr3:uid="{7BA39894-7B6A-4FD0-A7AA-D32A09B1EBEE}" name="SCHOOL LIST" dataDxfId="38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8FE620F-36AC-4E42-882F-74FB4FCC8FD4}" name="Table142116132225" displayName="Table142116132225" ref="AM3:AO12" totalsRowShown="0">
  <autoFilter ref="AM3:AO12" xr:uid="{53B3DDAD-8336-4EBE-AFBA-7202509003BF}"/>
  <tableColumns count="3">
    <tableColumn id="1" xr3:uid="{B0AAA16A-BCC7-49F0-AD7E-97FEF23FADAD}" name="Sl. No."/>
    <tableColumn id="2" xr3:uid="{7204FBE7-BDFF-4631-B9E3-CB108FDBEF4A}" name="ITEM"/>
    <tableColumn id="3" xr3:uid="{EA3FEFB1-3AB3-44F1-A398-41DC340C9311}" name="STUDENTS"/>
  </tableColumns>
  <tableStyleInfo name="TableStyleLight1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AFEBEB-7187-4A63-A338-0A955618203B}" name="Table17131411212423" displayName="Table17131411212423" ref="AL1:AL13" totalsRowShown="0" dataDxfId="37" tableBorderDxfId="36">
  <autoFilter ref="AL1:AL13" xr:uid="{7B7C4AFC-D9C4-42EE-B78D-95CD266323C4}"/>
  <tableColumns count="1">
    <tableColumn id="1" xr3:uid="{0D632B9D-1E1F-4B06-933F-90C2DC552F77}" name="SCHOOL LIST" dataDxfId="35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24602B5-4B29-4F1F-AA93-9B718738E402}" name="Table14211613222526" displayName="Table14211613222526" ref="AM3:AO12" totalsRowShown="0">
  <autoFilter ref="AM3:AO12" xr:uid="{53B3DDAD-8336-4EBE-AFBA-7202509003BF}"/>
  <tableColumns count="3">
    <tableColumn id="1" xr3:uid="{7FEB87A1-83B3-4DD8-B444-75DB2C82C959}" name="Sl. No."/>
    <tableColumn id="2" xr3:uid="{3DA6FE52-54A0-4DFE-819B-871728CF51F6}" name="ITEM"/>
    <tableColumn id="3" xr3:uid="{1736A280-4816-4168-BA18-3C6320B3FE40}" name="STUDENTS"/>
  </tableColumns>
  <tableStyleInfo name="TableStyleLight14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07A0B7B-0665-46E1-8885-A64BDA1BFD63}" name="Table35" displayName="Table35" ref="A1:L22" totalsRowShown="0" headerRowDxfId="34" headerRowBorderDxfId="32" tableBorderDxfId="33" totalsRowBorderDxfId="31">
  <autoFilter ref="A1:L22" xr:uid="{107A0B7B-0665-46E1-8885-A64BDA1BFD63}"/>
  <tableColumns count="12">
    <tableColumn id="1" xr3:uid="{8670995E-202B-48E1-8A4B-BA83CDB24204}" name="Palm Pen Holder" dataDxfId="30"/>
    <tableColumn id="2" xr3:uid="{0CCE0DCF-1C6E-407B-9A0D-CAE735CB628E}" name="No." dataDxfId="29"/>
    <tableColumn id="3" xr3:uid="{0353550A-16E0-4BB5-AD71-3D844494865D}" name="Tooth Brush Holder " dataDxfId="28"/>
    <tableColumn id="4" xr3:uid="{F67E0B72-4204-4222-A670-F3D01D2EFD54}" name="No.2" dataDxfId="27"/>
    <tableColumn id="5" xr3:uid="{002A3E4C-AE17-4409-BEF2-7DCC23E1E82D}" name="Utensil Holder" dataDxfId="26"/>
    <tableColumn id="6" xr3:uid="{B0C83873-64F6-426D-9B55-0E8742AC2488}" name="No.3" dataDxfId="25"/>
    <tableColumn id="7" xr3:uid="{B77F2BA8-1D51-4CE6-B961-96DDD5C236EA}" name="Reading Bar" dataDxfId="24"/>
    <tableColumn id="8" xr3:uid="{5DB9B60F-DE6F-483F-A6AF-A88393A6D51D}" name="No.4" dataDxfId="23"/>
    <tableColumn id="9" xr3:uid="{75B744C8-6012-44A7-B2A2-82942385608F}" name="Assistive Pencil Grip" dataDxfId="22"/>
    <tableColumn id="10" xr3:uid="{C51137F3-FC89-46E6-B252-9880F7BF3543}" name="Button Aid" dataDxfId="21"/>
    <tableColumn id="11" xr3:uid="{EF3EAB04-676C-4A16-816A-673E4A388679}" name="Total" dataDxfId="20"/>
    <tableColumn id="12" xr3:uid="{99E90F4E-8B48-4356-B5F1-3B1C7A04FD19}" name="Remarks" dataDxfId="19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F48817C-DD66-4BD7-8DBA-6EBD2A3E96EE}" name="Table1713141121242328" displayName="Table1713141121242328" ref="AL1:AL13" totalsRowShown="0" dataDxfId="18" tableBorderDxfId="17">
  <autoFilter ref="AL1:AL13" xr:uid="{7B7C4AFC-D9C4-42EE-B78D-95CD266323C4}"/>
  <tableColumns count="1">
    <tableColumn id="1" xr3:uid="{319E2756-9B0D-4328-B235-ECD860BD813E}" name="SCHOOL LIST" dataDxfId="16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FA57131-7D0A-41B0-A5A6-8627EB3F9B99}" name="Table1421161322252629" displayName="Table1421161322252629" ref="AM3:AO12" totalsRowShown="0">
  <autoFilter ref="AM3:AO12" xr:uid="{53B3DDAD-8336-4EBE-AFBA-7202509003BF}"/>
  <tableColumns count="3">
    <tableColumn id="1" xr3:uid="{6354CCD5-ABAE-486C-9804-2B92A2FB34A7}" name="Sl. No."/>
    <tableColumn id="2" xr3:uid="{ACDDB715-56DC-4EF9-9EFE-EF8D5C851E6D}" name="ITEM"/>
    <tableColumn id="3" xr3:uid="{7E63EBED-DE00-483D-9A0B-3033D1323D4D}" name="STUDENTS"/>
  </tableColumns>
  <tableStyleInfo name="TableStyleLight14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5392DF6-8B33-48AE-B0A3-387BC1915338}" name="Table3530" displayName="Table3530" ref="A1:L22" totalsRowShown="0" headerRowDxfId="15" headerRowBorderDxfId="13" tableBorderDxfId="14" totalsRowBorderDxfId="12">
  <autoFilter ref="A1:L22" xr:uid="{107A0B7B-0665-46E1-8885-A64BDA1BFD63}"/>
  <tableColumns count="12">
    <tableColumn id="1" xr3:uid="{1CAA54B2-7407-46C8-8218-672168AFC8B0}" name="Palm Pen Holder" dataDxfId="11"/>
    <tableColumn id="2" xr3:uid="{D7F682B5-4767-48A1-A487-BDDA30C63DE9}" name="No." dataDxfId="10"/>
    <tableColumn id="3" xr3:uid="{4A7FA0A1-B5C5-479D-A4FE-6D78F287DD2C}" name="Tooth Brush Holder " dataDxfId="9"/>
    <tableColumn id="4" xr3:uid="{8E1993C4-3949-47ED-8AF2-B301DDDBE31B}" name="No.2" dataDxfId="8"/>
    <tableColumn id="5" xr3:uid="{E19F64B7-3627-49AB-9296-4E396A59ED6B}" name="Utensil Holder" dataDxfId="7"/>
    <tableColumn id="6" xr3:uid="{6ABBC2DB-5DA1-49BE-98A8-CA0D01815BD9}" name="No.3" dataDxfId="6"/>
    <tableColumn id="7" xr3:uid="{97D93474-57A8-4B7E-B1C3-EB2B61895D97}" name="Reading Bar" dataDxfId="5"/>
    <tableColumn id="8" xr3:uid="{854A1918-7314-472D-8DA5-5399721839CC}" name="No.4" dataDxfId="4"/>
    <tableColumn id="9" xr3:uid="{F5E23AEF-EBB5-4EFD-8A2A-BBFCE4DD9284}" name="Assistive Pencil Grip" dataDxfId="3"/>
    <tableColumn id="10" xr3:uid="{B10CCF89-ADBF-48C3-83A3-D817003E4DE4}" name="Button Aid" dataDxfId="2"/>
    <tableColumn id="11" xr3:uid="{1419D42F-FF7F-40F8-AAAB-A1D54260128D}" name="Total" dataDxfId="1">
      <calculatedColumnFormula>SUM(B2,D2,F2,H2,I2,J2)</calculatedColumnFormula>
    </tableColumn>
    <tableColumn id="12" xr3:uid="{02434959-4BBA-4D22-8AAC-3B24B759EA5B}" name="Remarks" dataDxfId="0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0946B02-E02E-4874-A40B-6C7722E2FF84}" name="Table112" displayName="Table112" ref="A1:E53" totalsRowShown="0">
  <autoFilter ref="A1:E53" xr:uid="{80946B02-E02E-4874-A40B-6C7722E2FF84}">
    <filterColumn colId="1">
      <filters>
        <filter val="KOLLAM"/>
      </filters>
    </filterColumn>
  </autoFilter>
  <tableColumns count="5">
    <tableColumn id="1" xr3:uid="{7DF257C9-0362-4AE2-932E-03D58F60E281}" name="SCHOOL NAME"/>
    <tableColumn id="2" xr3:uid="{7E794F60-D78B-49BE-8CA6-2B98F2EAFEAB}" name="DISTRICT"/>
    <tableColumn id="3" xr3:uid="{8DFB15B7-0FF3-4383-8169-6A804B08F0F3}" name="NAME OF PANCHAYAT/MUNCIPALITY/BLOCK"/>
    <tableColumn id="4" xr3:uid="{311F05B7-5DF9-4860-907B-33AABF51E4BF}" name="Devices"/>
    <tableColumn id="5" xr3:uid="{1AA0A50E-2F01-46B4-BE75-BA7B9087AE13}" name="students"/>
  </tableColumns>
  <tableStyleInfo name="TableStyleLight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14E4E3-572F-46E9-82D7-BF386D481917}" name="Table9" displayName="Table9" ref="G3:J18" totalsRowShown="0">
  <autoFilter ref="G3:J18" xr:uid="{DF14E4E3-572F-46E9-82D7-BF386D481917}"/>
  <tableColumns count="4">
    <tableColumn id="1" xr3:uid="{B9BD7626-5813-4C76-B5C6-84C300E92051}" name="sl no"/>
    <tableColumn id="2" xr3:uid="{CBAE36B8-F30F-408B-B520-1564830CF7B1}" name="district"/>
    <tableColumn id="3" xr3:uid="{DCDF2DF1-1129-444A-9DE4-939C2F754C9A}" name="devices"/>
    <tableColumn id="4" xr3:uid="{425CFE53-3B11-46D7-8228-84CCF2CE0B4A}" name="student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table" Target="../tables/table3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849"/>
  <sheetViews>
    <sheetView topLeftCell="A29" workbookViewId="0">
      <selection activeCell="C1" sqref="C1"/>
    </sheetView>
  </sheetViews>
  <sheetFormatPr defaultColWidth="14.42578125" defaultRowHeight="15" customHeight="1"/>
  <cols>
    <col min="1" max="1" width="30.7109375" customWidth="1"/>
    <col min="2" max="2" width="22.140625" style="20" customWidth="1"/>
    <col min="3" max="3" width="19.42578125" customWidth="1"/>
    <col min="4" max="4" width="26" customWidth="1"/>
    <col min="5" max="5" width="21.7109375" customWidth="1"/>
    <col min="6" max="6" width="26.42578125" customWidth="1"/>
    <col min="7" max="7" width="27" customWidth="1"/>
    <col min="8" max="8" width="26.42578125" customWidth="1"/>
    <col min="9" max="9" width="27" customWidth="1"/>
    <col min="10" max="10" width="20" customWidth="1"/>
    <col min="11" max="11" width="17.5703125" customWidth="1"/>
    <col min="12" max="12" width="13.28515625" customWidth="1"/>
    <col min="13" max="13" width="11" customWidth="1"/>
    <col min="14" max="14" width="13" customWidth="1"/>
    <col min="15" max="15" width="11.28515625" customWidth="1"/>
    <col min="16" max="16" width="10.5703125" customWidth="1"/>
    <col min="17" max="23" width="7.42578125" customWidth="1"/>
  </cols>
  <sheetData>
    <row r="1" spans="1:27">
      <c r="A1" s="7"/>
      <c r="B1" s="1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>
      <c r="A2" s="31" t="s">
        <v>0</v>
      </c>
      <c r="B2" s="32" t="s">
        <v>1</v>
      </c>
      <c r="C2" s="33" t="s">
        <v>2</v>
      </c>
      <c r="D2" s="34" t="s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5.75" customHeight="1">
      <c r="A3" s="29" t="s">
        <v>4</v>
      </c>
      <c r="B3" s="18">
        <v>70</v>
      </c>
      <c r="C3" s="8" t="s">
        <v>5</v>
      </c>
      <c r="D3" s="30">
        <v>210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5.75" customHeight="1">
      <c r="A4" s="29" t="s">
        <v>6</v>
      </c>
      <c r="B4" s="18">
        <v>70</v>
      </c>
      <c r="C4" s="8" t="s">
        <v>5</v>
      </c>
      <c r="D4" s="30">
        <f t="shared" ref="D4:D5" si="0">B4*3</f>
        <v>210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 customHeight="1">
      <c r="A5" s="29" t="s">
        <v>7</v>
      </c>
      <c r="B5" s="18">
        <v>60</v>
      </c>
      <c r="C5" s="8" t="s">
        <v>5</v>
      </c>
      <c r="D5" s="30">
        <f t="shared" si="0"/>
        <v>180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customHeight="1">
      <c r="A6" s="29" t="s">
        <v>8</v>
      </c>
      <c r="B6" s="18">
        <v>50</v>
      </c>
      <c r="C6" s="8"/>
      <c r="D6" s="30">
        <f>B6</f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5.75" customHeight="1">
      <c r="A7" s="29" t="s">
        <v>9</v>
      </c>
      <c r="B7" s="18">
        <v>30</v>
      </c>
      <c r="C7" s="8" t="s">
        <v>10</v>
      </c>
      <c r="D7" s="30">
        <v>60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.75" customHeight="1">
      <c r="A8" s="29" t="s">
        <v>11</v>
      </c>
      <c r="B8" s="18">
        <v>40</v>
      </c>
      <c r="C8" s="8" t="s">
        <v>10</v>
      </c>
      <c r="D8" s="30">
        <v>80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5.75" customHeight="1">
      <c r="A9" s="29" t="s">
        <v>12</v>
      </c>
      <c r="B9" s="18">
        <v>50</v>
      </c>
      <c r="C9" s="8"/>
      <c r="D9" s="30">
        <f t="shared" ref="D8:D9" si="1">B9</f>
        <v>50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.75" customHeight="1">
      <c r="A10" s="35" t="s">
        <v>13</v>
      </c>
      <c r="B10" s="36">
        <f>SUM(B3:B9)</f>
        <v>370</v>
      </c>
      <c r="C10" s="37"/>
      <c r="D10" s="38">
        <f>SUM(D3:D9)</f>
        <v>840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5.75" customHeight="1">
      <c r="A11" s="7"/>
      <c r="B11" s="1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.75" customHeight="1">
      <c r="A12" s="9"/>
      <c r="B12" s="19"/>
      <c r="C12" s="9"/>
      <c r="D12" s="9"/>
      <c r="E12" s="9"/>
      <c r="F12" s="9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5.75" customHeight="1">
      <c r="A13" s="133" t="s">
        <v>14</v>
      </c>
      <c r="B13" s="133"/>
      <c r="C13" s="133"/>
      <c r="D13" s="133"/>
      <c r="E13" s="133"/>
      <c r="F13" s="133"/>
      <c r="G13" s="133"/>
      <c r="H13" s="133"/>
      <c r="I13" s="133"/>
      <c r="J13" s="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39" t="s">
        <v>15</v>
      </c>
      <c r="B14" s="26" t="s">
        <v>16</v>
      </c>
      <c r="C14" s="22" t="s">
        <v>8</v>
      </c>
      <c r="D14" s="22" t="s">
        <v>12</v>
      </c>
      <c r="E14" s="22" t="s">
        <v>6</v>
      </c>
      <c r="F14" s="22" t="s">
        <v>17</v>
      </c>
      <c r="G14" s="22" t="s">
        <v>18</v>
      </c>
      <c r="H14" s="22" t="s">
        <v>4</v>
      </c>
      <c r="I14" s="27" t="s">
        <v>19</v>
      </c>
      <c r="J14" s="9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customHeight="1">
      <c r="A15" s="40" t="s">
        <v>20</v>
      </c>
      <c r="B15" s="21">
        <v>4</v>
      </c>
      <c r="C15" s="6">
        <v>3</v>
      </c>
      <c r="D15" s="6">
        <v>5</v>
      </c>
      <c r="E15" s="6">
        <v>27</v>
      </c>
      <c r="F15" s="6">
        <v>6</v>
      </c>
      <c r="G15" s="6">
        <v>33</v>
      </c>
      <c r="H15" s="6">
        <v>36</v>
      </c>
      <c r="I15" s="6">
        <v>114</v>
      </c>
      <c r="J15" s="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5.75" customHeight="1">
      <c r="A16" s="40" t="s">
        <v>21</v>
      </c>
      <c r="B16" s="21">
        <v>2</v>
      </c>
      <c r="C16" s="6">
        <v>1</v>
      </c>
      <c r="D16" s="6">
        <v>6</v>
      </c>
      <c r="E16" s="6">
        <v>21</v>
      </c>
      <c r="F16" s="6">
        <v>6</v>
      </c>
      <c r="G16" s="6">
        <v>6</v>
      </c>
      <c r="H16" s="6">
        <v>24</v>
      </c>
      <c r="I16" s="6">
        <v>66</v>
      </c>
      <c r="J16" s="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5.75" customHeight="1">
      <c r="A17" s="40" t="s">
        <v>22</v>
      </c>
      <c r="B17" s="21"/>
      <c r="C17" s="6">
        <v>1</v>
      </c>
      <c r="D17" s="6">
        <v>5</v>
      </c>
      <c r="E17" s="6">
        <v>3</v>
      </c>
      <c r="F17" s="6">
        <v>0</v>
      </c>
      <c r="G17" s="6">
        <v>3</v>
      </c>
      <c r="H17" s="6">
        <v>0</v>
      </c>
      <c r="I17" s="6">
        <v>12</v>
      </c>
      <c r="J17" s="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75" customHeight="1">
      <c r="A18" s="40" t="s">
        <v>23</v>
      </c>
      <c r="B18" s="21">
        <v>2</v>
      </c>
      <c r="C18" s="6">
        <v>2</v>
      </c>
      <c r="D18" s="6"/>
      <c r="E18" s="6">
        <v>6</v>
      </c>
      <c r="F18" s="6">
        <v>0</v>
      </c>
      <c r="G18" s="6">
        <v>3</v>
      </c>
      <c r="H18" s="6">
        <v>6</v>
      </c>
      <c r="I18" s="6">
        <v>19</v>
      </c>
      <c r="J18" s="9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75" customHeight="1">
      <c r="A19" s="40" t="s">
        <v>24</v>
      </c>
      <c r="B19" s="21"/>
      <c r="C19" s="6">
        <v>5</v>
      </c>
      <c r="D19" s="6"/>
      <c r="E19" s="6">
        <v>15</v>
      </c>
      <c r="F19" s="6">
        <v>0</v>
      </c>
      <c r="G19" s="6">
        <v>3</v>
      </c>
      <c r="H19" s="6">
        <v>3</v>
      </c>
      <c r="I19" s="6">
        <v>26</v>
      </c>
      <c r="J19" s="10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5.75" customHeight="1">
      <c r="A20" s="40" t="s">
        <v>25</v>
      </c>
      <c r="B20" s="21">
        <v>32</v>
      </c>
      <c r="C20" s="6">
        <v>14</v>
      </c>
      <c r="D20" s="6">
        <v>7</v>
      </c>
      <c r="E20" s="6">
        <v>45</v>
      </c>
      <c r="F20" s="6">
        <v>18</v>
      </c>
      <c r="G20" s="6">
        <v>51</v>
      </c>
      <c r="H20" s="6">
        <v>63</v>
      </c>
      <c r="I20" s="6">
        <v>230</v>
      </c>
      <c r="J20" s="9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customHeight="1">
      <c r="A21" s="40" t="s">
        <v>26</v>
      </c>
      <c r="B21" s="21">
        <v>2</v>
      </c>
      <c r="C21" s="6">
        <v>1</v>
      </c>
      <c r="D21" s="6">
        <v>3</v>
      </c>
      <c r="E21" s="6">
        <v>3</v>
      </c>
      <c r="F21" s="6">
        <v>2</v>
      </c>
      <c r="G21" s="6">
        <v>0</v>
      </c>
      <c r="H21" s="6">
        <v>6</v>
      </c>
      <c r="I21" s="6">
        <v>17</v>
      </c>
      <c r="J21" s="9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customHeight="1">
      <c r="A22" s="40" t="s">
        <v>27</v>
      </c>
      <c r="B22" s="21">
        <v>4</v>
      </c>
      <c r="C22" s="6">
        <v>1</v>
      </c>
      <c r="D22" s="6"/>
      <c r="E22" s="6">
        <v>6</v>
      </c>
      <c r="F22" s="6">
        <v>0</v>
      </c>
      <c r="G22" s="6">
        <v>0</v>
      </c>
      <c r="H22" s="6">
        <v>0</v>
      </c>
      <c r="I22" s="6">
        <v>11</v>
      </c>
      <c r="J22" s="9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customHeight="1">
      <c r="A23" s="40" t="s">
        <v>28</v>
      </c>
      <c r="B23" s="21">
        <v>2</v>
      </c>
      <c r="C23" s="6">
        <v>6</v>
      </c>
      <c r="D23" s="6">
        <v>4</v>
      </c>
      <c r="E23" s="6">
        <v>21</v>
      </c>
      <c r="F23" s="6">
        <v>6</v>
      </c>
      <c r="G23" s="6">
        <v>27</v>
      </c>
      <c r="H23" s="6">
        <v>18</v>
      </c>
      <c r="I23" s="6">
        <v>84</v>
      </c>
      <c r="J23" s="9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customHeight="1">
      <c r="A24" s="40" t="s">
        <v>29</v>
      </c>
      <c r="B24" s="21">
        <v>4</v>
      </c>
      <c r="C24" s="6">
        <v>3</v>
      </c>
      <c r="D24" s="6">
        <v>1</v>
      </c>
      <c r="E24" s="6">
        <v>12</v>
      </c>
      <c r="F24" s="6">
        <v>0</v>
      </c>
      <c r="G24" s="6">
        <v>6</v>
      </c>
      <c r="H24" s="6">
        <v>3</v>
      </c>
      <c r="I24" s="6">
        <v>29</v>
      </c>
      <c r="J24" s="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customHeight="1">
      <c r="A25" s="40" t="s">
        <v>30</v>
      </c>
      <c r="B25" s="21">
        <v>14</v>
      </c>
      <c r="C25" s="6">
        <v>3</v>
      </c>
      <c r="D25" s="6">
        <v>7</v>
      </c>
      <c r="E25" s="6">
        <v>6</v>
      </c>
      <c r="F25" s="6">
        <v>6</v>
      </c>
      <c r="G25" s="6">
        <v>9</v>
      </c>
      <c r="H25" s="6">
        <v>6</v>
      </c>
      <c r="I25" s="6">
        <v>51</v>
      </c>
      <c r="J25" s="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customHeight="1">
      <c r="A26" s="40" t="s">
        <v>31</v>
      </c>
      <c r="B26" s="21"/>
      <c r="C26" s="6">
        <v>1</v>
      </c>
      <c r="D26" s="6">
        <v>4</v>
      </c>
      <c r="E26" s="6">
        <v>6</v>
      </c>
      <c r="F26" s="6">
        <v>2</v>
      </c>
      <c r="G26" s="6">
        <v>6</v>
      </c>
      <c r="H26" s="6">
        <v>12</v>
      </c>
      <c r="I26" s="6">
        <v>31</v>
      </c>
      <c r="J26" s="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customHeight="1">
      <c r="A27" s="40" t="s">
        <v>32</v>
      </c>
      <c r="B27" s="21">
        <v>12</v>
      </c>
      <c r="C27" s="6">
        <v>9</v>
      </c>
      <c r="D27" s="6">
        <v>8</v>
      </c>
      <c r="E27" s="6">
        <v>30</v>
      </c>
      <c r="F27" s="6">
        <v>14</v>
      </c>
      <c r="G27" s="6">
        <v>33</v>
      </c>
      <c r="H27" s="6">
        <v>24</v>
      </c>
      <c r="I27" s="6">
        <v>130</v>
      </c>
      <c r="J27" s="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customHeight="1">
      <c r="A28" s="40" t="s">
        <v>33</v>
      </c>
      <c r="B28" s="21">
        <v>2</v>
      </c>
      <c r="C28" s="6"/>
      <c r="D28" s="6"/>
      <c r="E28" s="6">
        <v>9</v>
      </c>
      <c r="F28" s="6">
        <v>0</v>
      </c>
      <c r="G28" s="6">
        <v>0</v>
      </c>
      <c r="H28" s="6">
        <v>9</v>
      </c>
      <c r="I28" s="6">
        <v>20</v>
      </c>
      <c r="J28" s="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customHeight="1">
      <c r="A29" s="46" t="s">
        <v>34</v>
      </c>
      <c r="B29" s="48">
        <v>80</v>
      </c>
      <c r="C29" s="47">
        <v>50</v>
      </c>
      <c r="D29" s="47">
        <v>50</v>
      </c>
      <c r="E29" s="47">
        <v>210</v>
      </c>
      <c r="F29" s="47">
        <v>60</v>
      </c>
      <c r="G29" s="47">
        <v>180</v>
      </c>
      <c r="H29" s="47">
        <v>210</v>
      </c>
      <c r="I29" s="47">
        <v>840</v>
      </c>
      <c r="J29" s="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customHeight="1">
      <c r="A30" s="9"/>
      <c r="B30" s="1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customHeight="1">
      <c r="A31" s="5"/>
      <c r="B31" s="25"/>
      <c r="C31" s="5"/>
      <c r="D31" s="5"/>
      <c r="E31" s="5"/>
      <c r="F31" s="5"/>
      <c r="G31" s="5"/>
      <c r="H31" s="5"/>
      <c r="I31" s="5"/>
      <c r="J31" s="5"/>
      <c r="K31" s="5"/>
    </row>
    <row r="32" spans="1:27" ht="15.75" customHeight="1">
      <c r="A32" s="42" t="s">
        <v>35</v>
      </c>
      <c r="B32" s="43" t="s">
        <v>15</v>
      </c>
      <c r="C32" s="43" t="s">
        <v>36</v>
      </c>
      <c r="D32" s="43" t="s">
        <v>11</v>
      </c>
      <c r="E32" s="43" t="s">
        <v>8</v>
      </c>
      <c r="F32" s="44" t="s">
        <v>12</v>
      </c>
      <c r="G32" s="43" t="s">
        <v>6</v>
      </c>
      <c r="H32" s="43" t="s">
        <v>17</v>
      </c>
      <c r="I32" s="43" t="s">
        <v>18</v>
      </c>
      <c r="J32" s="43" t="s">
        <v>4</v>
      </c>
      <c r="K32" s="45" t="s">
        <v>37</v>
      </c>
      <c r="L32" s="43" t="s">
        <v>38</v>
      </c>
    </row>
    <row r="33" spans="1:12" ht="15.75" customHeight="1">
      <c r="A33" s="40" t="s">
        <v>39</v>
      </c>
      <c r="B33" s="23" t="s">
        <v>21</v>
      </c>
      <c r="C33" s="6">
        <v>2</v>
      </c>
      <c r="D33" s="6">
        <v>0</v>
      </c>
      <c r="E33" s="6"/>
      <c r="F33" s="28"/>
      <c r="G33" s="6">
        <v>6</v>
      </c>
      <c r="H33" s="6">
        <v>0</v>
      </c>
      <c r="I33" s="6">
        <v>0</v>
      </c>
      <c r="J33" s="6">
        <v>0</v>
      </c>
      <c r="K33" s="41">
        <f>SUM(Table2[[#This Row],[ASSISTIVE PENCIL GRIP]:[UTENSIL HOLDER]])</f>
        <v>6</v>
      </c>
      <c r="L33" s="50">
        <f>Table2[[#This Row],[DEVICE COUNT]]-Table2[[#This Row],[LOW PROFILE SWITCH]]</f>
        <v>6</v>
      </c>
    </row>
    <row r="34" spans="1:12" ht="15.75" customHeight="1">
      <c r="A34" s="40" t="s">
        <v>40</v>
      </c>
      <c r="B34" s="23" t="s">
        <v>29</v>
      </c>
      <c r="C34" s="6">
        <v>4</v>
      </c>
      <c r="D34" s="6">
        <v>2</v>
      </c>
      <c r="E34" s="6">
        <v>1</v>
      </c>
      <c r="F34" s="28">
        <v>1</v>
      </c>
      <c r="G34" s="6">
        <v>3</v>
      </c>
      <c r="H34" s="6">
        <v>0</v>
      </c>
      <c r="I34" s="6">
        <v>0</v>
      </c>
      <c r="J34" s="6">
        <v>0</v>
      </c>
      <c r="K34" s="41">
        <f>SUM(Table2[[#This Row],[ASSISTIVE PENCIL GRIP]:[UTENSIL HOLDER]])</f>
        <v>7</v>
      </c>
      <c r="L34" s="6">
        <f>Table2[[#This Row],[DEVICE COUNT]]-Table2[[#This Row],[LOW PROFILE SWITCH]]</f>
        <v>6</v>
      </c>
    </row>
    <row r="35" spans="1:12" ht="15.75" customHeight="1">
      <c r="A35" s="40" t="s">
        <v>41</v>
      </c>
      <c r="B35" s="23" t="s">
        <v>31</v>
      </c>
      <c r="C35" s="6">
        <v>9</v>
      </c>
      <c r="D35" s="6">
        <v>0</v>
      </c>
      <c r="E35" s="6">
        <v>2</v>
      </c>
      <c r="F35" s="28">
        <v>3</v>
      </c>
      <c r="G35" s="6">
        <v>3</v>
      </c>
      <c r="H35" s="6">
        <v>2</v>
      </c>
      <c r="I35" s="6">
        <v>6</v>
      </c>
      <c r="J35" s="6"/>
      <c r="K35" s="41">
        <f>SUM(Table2[[#This Row],[ASSISTIVE PENCIL GRIP]:[UTENSIL HOLDER]])</f>
        <v>16</v>
      </c>
      <c r="L35" s="6">
        <f>Table2[[#This Row],[DEVICE COUNT]]-Table2[[#This Row],[LOW PROFILE SWITCH]]</f>
        <v>13</v>
      </c>
    </row>
    <row r="36" spans="1:12" ht="15.75" customHeight="1">
      <c r="A36" s="40" t="s">
        <v>42</v>
      </c>
      <c r="B36" s="23" t="s">
        <v>20</v>
      </c>
      <c r="C36" s="6">
        <v>6</v>
      </c>
      <c r="D36" s="6">
        <v>0</v>
      </c>
      <c r="E36" s="6"/>
      <c r="F36" s="28"/>
      <c r="G36" s="6">
        <v>0</v>
      </c>
      <c r="H36" s="6">
        <v>2</v>
      </c>
      <c r="I36" s="6">
        <v>9</v>
      </c>
      <c r="J36" s="6">
        <v>6</v>
      </c>
      <c r="K36" s="41">
        <f>SUM(Table2[[#This Row],[ASSISTIVE PENCIL GRIP]:[UTENSIL HOLDER]])</f>
        <v>17</v>
      </c>
      <c r="L36" s="6">
        <f>Table2[[#This Row],[DEVICE COUNT]]-Table2[[#This Row],[LOW PROFILE SWITCH]]</f>
        <v>17</v>
      </c>
    </row>
    <row r="37" spans="1:12" ht="15.75" customHeight="1">
      <c r="A37" s="40" t="s">
        <v>43</v>
      </c>
      <c r="B37" s="23" t="s">
        <v>25</v>
      </c>
      <c r="C37" s="6">
        <v>15</v>
      </c>
      <c r="D37" s="6">
        <v>0</v>
      </c>
      <c r="E37" s="6">
        <v>1</v>
      </c>
      <c r="F37" s="28"/>
      <c r="G37" s="6">
        <v>0</v>
      </c>
      <c r="H37" s="6">
        <v>2</v>
      </c>
      <c r="I37" s="6">
        <v>36</v>
      </c>
      <c r="J37" s="6">
        <v>3</v>
      </c>
      <c r="K37" s="41">
        <f>SUM(Table2[[#This Row],[ASSISTIVE PENCIL GRIP]:[UTENSIL HOLDER]])</f>
        <v>42</v>
      </c>
      <c r="L37" s="6">
        <f>Table2[[#This Row],[DEVICE COUNT]]-Table2[[#This Row],[LOW PROFILE SWITCH]]</f>
        <v>42</v>
      </c>
    </row>
    <row r="38" spans="1:12" ht="15.75" customHeight="1">
      <c r="A38" s="40" t="s">
        <v>44</v>
      </c>
      <c r="B38" s="23" t="s">
        <v>21</v>
      </c>
      <c r="C38" s="6">
        <v>1</v>
      </c>
      <c r="D38" s="6">
        <v>0</v>
      </c>
      <c r="E38" s="6"/>
      <c r="F38" s="28"/>
      <c r="G38" s="6">
        <v>0</v>
      </c>
      <c r="H38" s="6">
        <v>0</v>
      </c>
      <c r="I38" s="6">
        <v>0</v>
      </c>
      <c r="J38" s="6">
        <v>3</v>
      </c>
      <c r="K38" s="41">
        <f>SUM(Table2[[#This Row],[ASSISTIVE PENCIL GRIP]:[UTENSIL HOLDER]])</f>
        <v>3</v>
      </c>
      <c r="L38" s="6">
        <f>Table2[[#This Row],[DEVICE COUNT]]-Table2[[#This Row],[LOW PROFILE SWITCH]]</f>
        <v>3</v>
      </c>
    </row>
    <row r="39" spans="1:12" ht="15.75" customHeight="1">
      <c r="A39" s="40" t="s">
        <v>45</v>
      </c>
      <c r="B39" s="23" t="s">
        <v>33</v>
      </c>
      <c r="C39" s="6">
        <v>7</v>
      </c>
      <c r="D39" s="6">
        <v>2</v>
      </c>
      <c r="E39" s="6"/>
      <c r="F39" s="28"/>
      <c r="G39" s="6">
        <v>9</v>
      </c>
      <c r="H39" s="6">
        <v>0</v>
      </c>
      <c r="I39" s="6">
        <v>0</v>
      </c>
      <c r="J39" s="6">
        <v>9</v>
      </c>
      <c r="K39" s="41">
        <f>SUM(Table2[[#This Row],[ASSISTIVE PENCIL GRIP]:[UTENSIL HOLDER]])</f>
        <v>20</v>
      </c>
      <c r="L39" s="6">
        <f>Table2[[#This Row],[DEVICE COUNT]]-Table2[[#This Row],[LOW PROFILE SWITCH]]</f>
        <v>20</v>
      </c>
    </row>
    <row r="40" spans="1:12" ht="15.75" customHeight="1">
      <c r="A40" s="40" t="s">
        <v>46</v>
      </c>
      <c r="B40" s="23" t="s">
        <v>29</v>
      </c>
      <c r="C40" s="6">
        <v>9</v>
      </c>
      <c r="D40" s="6">
        <v>2</v>
      </c>
      <c r="E40" s="6">
        <v>2</v>
      </c>
      <c r="F40" s="28"/>
      <c r="G40" s="6">
        <v>9</v>
      </c>
      <c r="H40" s="6">
        <v>0</v>
      </c>
      <c r="I40" s="6">
        <v>6</v>
      </c>
      <c r="J40" s="6">
        <v>3</v>
      </c>
      <c r="K40" s="41">
        <f>SUM(Table2[[#This Row],[ASSISTIVE PENCIL GRIP]:[UTENSIL HOLDER]])</f>
        <v>22</v>
      </c>
      <c r="L40" s="6">
        <f>Table2[[#This Row],[DEVICE COUNT]]-Table2[[#This Row],[LOW PROFILE SWITCH]]</f>
        <v>22</v>
      </c>
    </row>
    <row r="41" spans="1:12" ht="15.75" customHeight="1">
      <c r="A41" s="40" t="s">
        <v>47</v>
      </c>
      <c r="B41" s="23" t="s">
        <v>28</v>
      </c>
      <c r="C41" s="6">
        <v>9</v>
      </c>
      <c r="D41" s="6">
        <v>0</v>
      </c>
      <c r="E41" s="6">
        <v>1</v>
      </c>
      <c r="F41" s="28"/>
      <c r="G41" s="6">
        <v>18</v>
      </c>
      <c r="H41" s="6">
        <v>0</v>
      </c>
      <c r="I41" s="6">
        <v>6</v>
      </c>
      <c r="J41" s="6">
        <v>0</v>
      </c>
      <c r="K41" s="41">
        <f>SUM(Table2[[#This Row],[ASSISTIVE PENCIL GRIP]:[UTENSIL HOLDER]])</f>
        <v>25</v>
      </c>
      <c r="L41" s="6">
        <f>Table2[[#This Row],[DEVICE COUNT]]-Table2[[#This Row],[LOW PROFILE SWITCH]]</f>
        <v>25</v>
      </c>
    </row>
    <row r="42" spans="1:12" ht="15.75" customHeight="1">
      <c r="A42" s="40" t="s">
        <v>48</v>
      </c>
      <c r="B42" s="23" t="s">
        <v>21</v>
      </c>
      <c r="C42" s="6">
        <v>1</v>
      </c>
      <c r="D42" s="6">
        <v>0</v>
      </c>
      <c r="E42" s="6"/>
      <c r="F42" s="28"/>
      <c r="G42" s="6">
        <v>3</v>
      </c>
      <c r="H42" s="6">
        <v>0</v>
      </c>
      <c r="I42" s="6">
        <v>0</v>
      </c>
      <c r="J42" s="6">
        <v>0</v>
      </c>
      <c r="K42" s="41">
        <f>SUM(Table2[[#This Row],[ASSISTIVE PENCIL GRIP]:[UTENSIL HOLDER]])</f>
        <v>3</v>
      </c>
      <c r="L42" s="6">
        <f>Table2[[#This Row],[DEVICE COUNT]]-Table2[[#This Row],[LOW PROFILE SWITCH]]</f>
        <v>3</v>
      </c>
    </row>
    <row r="43" spans="1:12" ht="15.75" customHeight="1">
      <c r="A43" s="40" t="s">
        <v>49</v>
      </c>
      <c r="B43" s="23" t="s">
        <v>21</v>
      </c>
      <c r="C43" s="6">
        <v>2</v>
      </c>
      <c r="D43" s="6">
        <v>0</v>
      </c>
      <c r="E43" s="6"/>
      <c r="F43" s="28"/>
      <c r="G43" s="6">
        <v>3</v>
      </c>
      <c r="H43" s="6">
        <v>0</v>
      </c>
      <c r="I43" s="6">
        <v>0</v>
      </c>
      <c r="J43" s="6">
        <v>3</v>
      </c>
      <c r="K43" s="41">
        <f>SUM(Table2[[#This Row],[ASSISTIVE PENCIL GRIP]:[UTENSIL HOLDER]])</f>
        <v>6</v>
      </c>
      <c r="L43" s="6">
        <f>Table2[[#This Row],[DEVICE COUNT]]-Table2[[#This Row],[LOW PROFILE SWITCH]]</f>
        <v>6</v>
      </c>
    </row>
    <row r="44" spans="1:12" ht="15.75" customHeight="1">
      <c r="A44" s="40" t="s">
        <v>50</v>
      </c>
      <c r="B44" s="23" t="s">
        <v>32</v>
      </c>
      <c r="C44" s="6">
        <v>5</v>
      </c>
      <c r="D44" s="6">
        <v>2</v>
      </c>
      <c r="E44" s="6"/>
      <c r="F44" s="28"/>
      <c r="G44" s="6">
        <v>0</v>
      </c>
      <c r="H44" s="6">
        <v>6</v>
      </c>
      <c r="I44" s="6">
        <v>3</v>
      </c>
      <c r="J44" s="6">
        <v>0</v>
      </c>
      <c r="K44" s="41">
        <f>SUM(Table2[[#This Row],[ASSISTIVE PENCIL GRIP]:[UTENSIL HOLDER]])</f>
        <v>11</v>
      </c>
      <c r="L44" s="6">
        <f>Table2[[#This Row],[DEVICE COUNT]]-Table2[[#This Row],[LOW PROFILE SWITCH]]</f>
        <v>11</v>
      </c>
    </row>
    <row r="45" spans="1:12" ht="15.75" customHeight="1">
      <c r="A45" s="40" t="s">
        <v>51</v>
      </c>
      <c r="B45" s="23" t="s">
        <v>21</v>
      </c>
      <c r="C45" s="6">
        <v>2</v>
      </c>
      <c r="D45" s="6">
        <v>0</v>
      </c>
      <c r="E45" s="6"/>
      <c r="F45" s="28"/>
      <c r="G45" s="6">
        <v>3</v>
      </c>
      <c r="H45" s="6">
        <v>0</v>
      </c>
      <c r="I45" s="6">
        <v>0</v>
      </c>
      <c r="J45" s="6">
        <v>3</v>
      </c>
      <c r="K45" s="41">
        <f>SUM(Table2[[#This Row],[ASSISTIVE PENCIL GRIP]:[UTENSIL HOLDER]])</f>
        <v>6</v>
      </c>
      <c r="L45" s="6">
        <f>Table2[[#This Row],[DEVICE COUNT]]-Table2[[#This Row],[LOW PROFILE SWITCH]]</f>
        <v>6</v>
      </c>
    </row>
    <row r="46" spans="1:12" ht="15.75" customHeight="1">
      <c r="A46" s="40" t="s">
        <v>52</v>
      </c>
      <c r="B46" s="23" t="s">
        <v>25</v>
      </c>
      <c r="C46" s="6">
        <v>4</v>
      </c>
      <c r="D46" s="6">
        <v>2</v>
      </c>
      <c r="E46" s="6"/>
      <c r="F46" s="28"/>
      <c r="G46" s="6">
        <v>6</v>
      </c>
      <c r="H46" s="6">
        <v>2</v>
      </c>
      <c r="I46" s="6">
        <v>0</v>
      </c>
      <c r="J46" s="6">
        <v>0</v>
      </c>
      <c r="K46" s="41">
        <f>SUM(Table2[[#This Row],[ASSISTIVE PENCIL GRIP]:[UTENSIL HOLDER]])</f>
        <v>10</v>
      </c>
      <c r="L46" s="6">
        <f>Table2[[#This Row],[DEVICE COUNT]]-Table2[[#This Row],[LOW PROFILE SWITCH]]</f>
        <v>10</v>
      </c>
    </row>
    <row r="47" spans="1:12" ht="15.75" customHeight="1">
      <c r="A47" s="40" t="s">
        <v>53</v>
      </c>
      <c r="B47" s="23" t="s">
        <v>21</v>
      </c>
      <c r="C47" s="6">
        <v>3</v>
      </c>
      <c r="D47" s="6">
        <v>2</v>
      </c>
      <c r="E47" s="6"/>
      <c r="F47" s="28">
        <v>2</v>
      </c>
      <c r="G47" s="6">
        <v>0</v>
      </c>
      <c r="H47" s="6">
        <v>0</v>
      </c>
      <c r="I47" s="6">
        <v>0</v>
      </c>
      <c r="J47" s="6">
        <v>0</v>
      </c>
      <c r="K47" s="41">
        <f>SUM(Table2[[#This Row],[ASSISTIVE PENCIL GRIP]:[UTENSIL HOLDER]])</f>
        <v>4</v>
      </c>
      <c r="L47" s="6">
        <f>Table2[[#This Row],[DEVICE COUNT]]-Table2[[#This Row],[LOW PROFILE SWITCH]]</f>
        <v>2</v>
      </c>
    </row>
    <row r="48" spans="1:12" ht="15.75" customHeight="1">
      <c r="A48" s="40" t="s">
        <v>54</v>
      </c>
      <c r="B48" s="23" t="s">
        <v>21</v>
      </c>
      <c r="C48" s="6">
        <v>2</v>
      </c>
      <c r="D48" s="6">
        <v>0</v>
      </c>
      <c r="E48" s="6"/>
      <c r="F48" s="28"/>
      <c r="G48" s="6">
        <v>0</v>
      </c>
      <c r="H48" s="6">
        <v>0</v>
      </c>
      <c r="I48" s="6">
        <v>0</v>
      </c>
      <c r="J48" s="6">
        <v>6</v>
      </c>
      <c r="K48" s="41">
        <f>SUM(Table2[[#This Row],[ASSISTIVE PENCIL GRIP]:[UTENSIL HOLDER]])</f>
        <v>6</v>
      </c>
      <c r="L48" s="6">
        <f>Table2[[#This Row],[DEVICE COUNT]]-Table2[[#This Row],[LOW PROFILE SWITCH]]</f>
        <v>6</v>
      </c>
    </row>
    <row r="49" spans="1:12" ht="15.75" customHeight="1">
      <c r="A49" s="40" t="s">
        <v>55</v>
      </c>
      <c r="B49" s="23" t="s">
        <v>30</v>
      </c>
      <c r="C49" s="6">
        <v>23</v>
      </c>
      <c r="D49" s="6">
        <v>10</v>
      </c>
      <c r="E49" s="6">
        <v>3</v>
      </c>
      <c r="F49" s="28">
        <v>6</v>
      </c>
      <c r="G49" s="6">
        <v>3</v>
      </c>
      <c r="H49" s="6">
        <v>6</v>
      </c>
      <c r="I49" s="6">
        <v>9</v>
      </c>
      <c r="J49" s="6">
        <v>6</v>
      </c>
      <c r="K49" s="41">
        <f>SUM(Table2[[#This Row],[ASSISTIVE PENCIL GRIP]:[UTENSIL HOLDER]])</f>
        <v>43</v>
      </c>
      <c r="L49" s="6">
        <f>Table2[[#This Row],[DEVICE COUNT]]-Table2[[#This Row],[LOW PROFILE SWITCH]]</f>
        <v>37</v>
      </c>
    </row>
    <row r="50" spans="1:12" ht="15.75" customHeight="1">
      <c r="A50" s="40" t="s">
        <v>56</v>
      </c>
      <c r="B50" s="23" t="s">
        <v>30</v>
      </c>
      <c r="C50" s="6">
        <v>4</v>
      </c>
      <c r="D50" s="6">
        <v>4</v>
      </c>
      <c r="E50" s="6"/>
      <c r="F50" s="28">
        <v>1</v>
      </c>
      <c r="G50" s="6">
        <v>0</v>
      </c>
      <c r="H50" s="6">
        <v>2</v>
      </c>
      <c r="I50" s="6">
        <v>0</v>
      </c>
      <c r="J50" s="6">
        <v>0</v>
      </c>
      <c r="K50" s="41">
        <f>SUM(Table2[[#This Row],[ASSISTIVE PENCIL GRIP]:[UTENSIL HOLDER]])</f>
        <v>7</v>
      </c>
      <c r="L50" s="6">
        <f>Table2[[#This Row],[DEVICE COUNT]]-Table2[[#This Row],[LOW PROFILE SWITCH]]</f>
        <v>6</v>
      </c>
    </row>
    <row r="51" spans="1:12" ht="15.75" customHeight="1">
      <c r="A51" s="40" t="s">
        <v>57</v>
      </c>
      <c r="B51" s="23" t="s">
        <v>21</v>
      </c>
      <c r="C51" s="6">
        <v>7</v>
      </c>
      <c r="D51" s="6">
        <v>0</v>
      </c>
      <c r="E51" s="6">
        <v>1</v>
      </c>
      <c r="F51" s="28">
        <v>2</v>
      </c>
      <c r="G51" s="6">
        <v>6</v>
      </c>
      <c r="H51" s="6">
        <v>0</v>
      </c>
      <c r="I51" s="6">
        <v>0</v>
      </c>
      <c r="J51" s="6">
        <v>6</v>
      </c>
      <c r="K51" s="41">
        <f>SUM(Table2[[#This Row],[ASSISTIVE PENCIL GRIP]:[UTENSIL HOLDER]])</f>
        <v>15</v>
      </c>
      <c r="L51" s="6">
        <f>Table2[[#This Row],[DEVICE COUNT]]-Table2[[#This Row],[LOW PROFILE SWITCH]]</f>
        <v>13</v>
      </c>
    </row>
    <row r="52" spans="1:12" ht="15.75" customHeight="1">
      <c r="A52" s="40" t="s">
        <v>58</v>
      </c>
      <c r="B52" s="23" t="s">
        <v>21</v>
      </c>
      <c r="C52" s="6">
        <v>7</v>
      </c>
      <c r="D52" s="6">
        <v>0</v>
      </c>
      <c r="E52" s="6"/>
      <c r="F52" s="28">
        <v>2</v>
      </c>
      <c r="G52" s="6">
        <v>0</v>
      </c>
      <c r="H52" s="6">
        <v>6</v>
      </c>
      <c r="I52" s="6">
        <v>3</v>
      </c>
      <c r="J52" s="6">
        <v>3</v>
      </c>
      <c r="K52" s="41">
        <f>SUM(Table2[[#This Row],[ASSISTIVE PENCIL GRIP]:[UTENSIL HOLDER]])</f>
        <v>14</v>
      </c>
      <c r="L52" s="6">
        <f>Table2[[#This Row],[DEVICE COUNT]]-Table2[[#This Row],[LOW PROFILE SWITCH]]</f>
        <v>12</v>
      </c>
    </row>
    <row r="53" spans="1:12" ht="15.75" customHeight="1">
      <c r="A53" s="40" t="s">
        <v>59</v>
      </c>
      <c r="B53" s="23" t="s">
        <v>21</v>
      </c>
      <c r="C53" s="6">
        <v>1</v>
      </c>
      <c r="D53" s="6">
        <v>0</v>
      </c>
      <c r="E53" s="6"/>
      <c r="F53" s="28"/>
      <c r="G53" s="6">
        <v>0</v>
      </c>
      <c r="H53" s="6">
        <v>0</v>
      </c>
      <c r="I53" s="6">
        <v>3</v>
      </c>
      <c r="J53" s="6">
        <v>0</v>
      </c>
      <c r="K53" s="41">
        <f>SUM(Table2[[#This Row],[ASSISTIVE PENCIL GRIP]:[UTENSIL HOLDER]])</f>
        <v>3</v>
      </c>
      <c r="L53" s="6">
        <f>Table2[[#This Row],[DEVICE COUNT]]-Table2[[#This Row],[LOW PROFILE SWITCH]]</f>
        <v>3</v>
      </c>
    </row>
    <row r="54" spans="1:12" ht="15.75" customHeight="1">
      <c r="A54" s="40" t="s">
        <v>60</v>
      </c>
      <c r="B54" s="23" t="s">
        <v>32</v>
      </c>
      <c r="C54" s="6">
        <v>14</v>
      </c>
      <c r="D54" s="6">
        <v>2</v>
      </c>
      <c r="E54" s="6">
        <v>2</v>
      </c>
      <c r="F54" s="28"/>
      <c r="G54" s="6">
        <v>9</v>
      </c>
      <c r="H54" s="6">
        <v>4</v>
      </c>
      <c r="I54" s="6">
        <v>12</v>
      </c>
      <c r="J54" s="6">
        <v>6</v>
      </c>
      <c r="K54" s="41">
        <f>SUM(Table2[[#This Row],[ASSISTIVE PENCIL GRIP]:[UTENSIL HOLDER]])</f>
        <v>35</v>
      </c>
      <c r="L54" s="6">
        <f>Table2[[#This Row],[DEVICE COUNT]]-Table2[[#This Row],[LOW PROFILE SWITCH]]</f>
        <v>35</v>
      </c>
    </row>
    <row r="55" spans="1:12" ht="15.75" customHeight="1">
      <c r="A55" s="40" t="s">
        <v>61</v>
      </c>
      <c r="B55" s="23" t="s">
        <v>25</v>
      </c>
      <c r="C55" s="6">
        <v>7</v>
      </c>
      <c r="D55" s="6">
        <v>2</v>
      </c>
      <c r="E55" s="6"/>
      <c r="F55" s="28"/>
      <c r="G55" s="6">
        <v>9</v>
      </c>
      <c r="H55" s="6">
        <v>2</v>
      </c>
      <c r="I55" s="6">
        <v>6</v>
      </c>
      <c r="J55" s="6">
        <v>0</v>
      </c>
      <c r="K55" s="41">
        <f>SUM(Table2[[#This Row],[ASSISTIVE PENCIL GRIP]:[UTENSIL HOLDER]])</f>
        <v>19</v>
      </c>
      <c r="L55" s="6">
        <f>Table2[[#This Row],[DEVICE COUNT]]-Table2[[#This Row],[LOW PROFILE SWITCH]]</f>
        <v>19</v>
      </c>
    </row>
    <row r="56" spans="1:12" ht="15.75" customHeight="1">
      <c r="A56" s="40" t="s">
        <v>62</v>
      </c>
      <c r="B56" s="23" t="s">
        <v>28</v>
      </c>
      <c r="C56" s="6">
        <v>10</v>
      </c>
      <c r="D56" s="6">
        <v>0</v>
      </c>
      <c r="E56" s="6">
        <v>3</v>
      </c>
      <c r="F56" s="28"/>
      <c r="G56" s="6">
        <v>0</v>
      </c>
      <c r="H56" s="6">
        <v>4</v>
      </c>
      <c r="I56" s="6">
        <v>3</v>
      </c>
      <c r="J56" s="6">
        <v>12</v>
      </c>
      <c r="K56" s="41">
        <f>SUM(Table2[[#This Row],[ASSISTIVE PENCIL GRIP]:[UTENSIL HOLDER]])</f>
        <v>22</v>
      </c>
      <c r="L56" s="6">
        <f>Table2[[#This Row],[DEVICE COUNT]]-Table2[[#This Row],[LOW PROFILE SWITCH]]</f>
        <v>22</v>
      </c>
    </row>
    <row r="57" spans="1:12" ht="15.75" customHeight="1">
      <c r="A57" s="40" t="s">
        <v>63</v>
      </c>
      <c r="B57" s="23" t="s">
        <v>27</v>
      </c>
      <c r="C57" s="6">
        <v>5</v>
      </c>
      <c r="D57" s="6">
        <v>4</v>
      </c>
      <c r="E57" s="6">
        <v>1</v>
      </c>
      <c r="F57" s="28"/>
      <c r="G57" s="6">
        <v>6</v>
      </c>
      <c r="H57" s="6">
        <v>0</v>
      </c>
      <c r="I57" s="6">
        <v>0</v>
      </c>
      <c r="J57" s="6">
        <v>0</v>
      </c>
      <c r="K57" s="41">
        <f>SUM(Table2[[#This Row],[ASSISTIVE PENCIL GRIP]:[UTENSIL HOLDER]])</f>
        <v>11</v>
      </c>
      <c r="L57" s="6">
        <f>Table2[[#This Row],[DEVICE COUNT]]-Table2[[#This Row],[LOW PROFILE SWITCH]]</f>
        <v>11</v>
      </c>
    </row>
    <row r="58" spans="1:12" ht="15.75" customHeight="1">
      <c r="A58" s="40" t="s">
        <v>64</v>
      </c>
      <c r="B58" s="23" t="s">
        <v>25</v>
      </c>
      <c r="C58" s="6">
        <v>18</v>
      </c>
      <c r="D58" s="6">
        <v>2</v>
      </c>
      <c r="E58" s="6">
        <v>1</v>
      </c>
      <c r="F58" s="28">
        <v>5</v>
      </c>
      <c r="G58" s="6">
        <v>6</v>
      </c>
      <c r="H58" s="6">
        <v>4</v>
      </c>
      <c r="I58" s="6">
        <v>6</v>
      </c>
      <c r="J58" s="6">
        <v>15</v>
      </c>
      <c r="K58" s="41">
        <f>SUM(Table2[[#This Row],[ASSISTIVE PENCIL GRIP]:[UTENSIL HOLDER]])</f>
        <v>39</v>
      </c>
      <c r="L58" s="6">
        <f>Table2[[#This Row],[DEVICE COUNT]]-Table2[[#This Row],[LOW PROFILE SWITCH]]</f>
        <v>34</v>
      </c>
    </row>
    <row r="59" spans="1:12" ht="15.75" customHeight="1">
      <c r="A59" s="40" t="s">
        <v>65</v>
      </c>
      <c r="B59" s="23" t="s">
        <v>25</v>
      </c>
      <c r="C59" s="6">
        <v>6</v>
      </c>
      <c r="D59" s="6">
        <v>2</v>
      </c>
      <c r="E59" s="6">
        <v>2</v>
      </c>
      <c r="F59" s="28"/>
      <c r="G59" s="6">
        <v>0</v>
      </c>
      <c r="H59" s="6">
        <v>0</v>
      </c>
      <c r="I59" s="6">
        <v>0</v>
      </c>
      <c r="J59" s="6">
        <v>9</v>
      </c>
      <c r="K59" s="41">
        <f>SUM(Table2[[#This Row],[ASSISTIVE PENCIL GRIP]:[UTENSIL HOLDER]])</f>
        <v>13</v>
      </c>
      <c r="L59" s="6">
        <f>Table2[[#This Row],[DEVICE COUNT]]-Table2[[#This Row],[LOW PROFILE SWITCH]]</f>
        <v>13</v>
      </c>
    </row>
    <row r="60" spans="1:12" ht="15.75" customHeight="1">
      <c r="A60" s="40" t="s">
        <v>66</v>
      </c>
      <c r="B60" s="23" t="s">
        <v>32</v>
      </c>
      <c r="C60" s="6">
        <v>6</v>
      </c>
      <c r="D60" s="6">
        <v>2</v>
      </c>
      <c r="E60" s="6">
        <v>1</v>
      </c>
      <c r="F60" s="28">
        <v>1</v>
      </c>
      <c r="G60" s="6">
        <v>3</v>
      </c>
      <c r="H60" s="6">
        <v>0</v>
      </c>
      <c r="I60" s="6">
        <v>6</v>
      </c>
      <c r="J60" s="6">
        <v>0</v>
      </c>
      <c r="K60" s="41">
        <f>SUM(Table2[[#This Row],[ASSISTIVE PENCIL GRIP]:[UTENSIL HOLDER]])</f>
        <v>13</v>
      </c>
      <c r="L60" s="6">
        <f>Table2[[#This Row],[DEVICE COUNT]]-Table2[[#This Row],[LOW PROFILE SWITCH]]</f>
        <v>12</v>
      </c>
    </row>
    <row r="61" spans="1:12" ht="15.75" customHeight="1">
      <c r="A61" s="40" t="s">
        <v>67</v>
      </c>
      <c r="B61" s="23" t="s">
        <v>25</v>
      </c>
      <c r="C61" s="6">
        <v>18</v>
      </c>
      <c r="D61" s="6">
        <v>18</v>
      </c>
      <c r="E61" s="6">
        <v>4</v>
      </c>
      <c r="F61" s="28">
        <v>1</v>
      </c>
      <c r="G61" s="6">
        <v>3</v>
      </c>
      <c r="H61" s="6">
        <v>0</v>
      </c>
      <c r="I61" s="6">
        <v>3</v>
      </c>
      <c r="J61" s="6">
        <v>6</v>
      </c>
      <c r="K61" s="41">
        <f>SUM(Table2[[#This Row],[ASSISTIVE PENCIL GRIP]:[UTENSIL HOLDER]])</f>
        <v>35</v>
      </c>
      <c r="L61" s="6">
        <f>Table2[[#This Row],[DEVICE COUNT]]-Table2[[#This Row],[LOW PROFILE SWITCH]]</f>
        <v>34</v>
      </c>
    </row>
    <row r="62" spans="1:12" ht="15.75" customHeight="1">
      <c r="A62" s="40" t="s">
        <v>68</v>
      </c>
      <c r="B62" s="23" t="s">
        <v>25</v>
      </c>
      <c r="C62" s="6">
        <v>8</v>
      </c>
      <c r="D62" s="6">
        <v>4</v>
      </c>
      <c r="E62" s="6"/>
      <c r="F62" s="28"/>
      <c r="G62" s="6">
        <v>0</v>
      </c>
      <c r="H62" s="6">
        <v>4</v>
      </c>
      <c r="I62" s="6">
        <v>0</v>
      </c>
      <c r="J62" s="6">
        <v>12</v>
      </c>
      <c r="K62" s="41">
        <f>SUM(Table2[[#This Row],[ASSISTIVE PENCIL GRIP]:[UTENSIL HOLDER]])</f>
        <v>20</v>
      </c>
      <c r="L62" s="6">
        <f>Table2[[#This Row],[DEVICE COUNT]]-Table2[[#This Row],[LOW PROFILE SWITCH]]</f>
        <v>20</v>
      </c>
    </row>
    <row r="63" spans="1:12" ht="15.75" customHeight="1">
      <c r="A63" s="40" t="s">
        <v>69</v>
      </c>
      <c r="B63" s="23" t="s">
        <v>22</v>
      </c>
      <c r="C63" s="6">
        <v>4</v>
      </c>
      <c r="D63" s="6">
        <v>0</v>
      </c>
      <c r="E63" s="6"/>
      <c r="F63" s="28">
        <v>4</v>
      </c>
      <c r="G63" s="6">
        <v>0</v>
      </c>
      <c r="H63" s="6">
        <v>0</v>
      </c>
      <c r="I63" s="6">
        <v>0</v>
      </c>
      <c r="J63" s="6">
        <v>0</v>
      </c>
      <c r="K63" s="41">
        <f>SUM(Table2[[#This Row],[ASSISTIVE PENCIL GRIP]:[UTENSIL HOLDER]])</f>
        <v>4</v>
      </c>
      <c r="L63" s="6">
        <f>Table2[[#This Row],[DEVICE COUNT]]-Table2[[#This Row],[LOW PROFILE SWITCH]]</f>
        <v>0</v>
      </c>
    </row>
    <row r="64" spans="1:12" ht="15.75" customHeight="1">
      <c r="A64" s="40" t="s">
        <v>70</v>
      </c>
      <c r="B64" s="23" t="s">
        <v>24</v>
      </c>
      <c r="C64" s="6">
        <v>12</v>
      </c>
      <c r="D64" s="6">
        <v>0</v>
      </c>
      <c r="E64" s="6">
        <v>4</v>
      </c>
      <c r="F64" s="28"/>
      <c r="G64" s="6">
        <v>15</v>
      </c>
      <c r="H64" s="6">
        <v>0</v>
      </c>
      <c r="I64" s="6">
        <v>3</v>
      </c>
      <c r="J64" s="6">
        <v>6</v>
      </c>
      <c r="K64" s="41">
        <f>SUM(Table2[[#This Row],[ASSISTIVE PENCIL GRIP]:[UTENSIL HOLDER]])</f>
        <v>28</v>
      </c>
      <c r="L64" s="6">
        <f>Table2[[#This Row],[DEVICE COUNT]]-Table2[[#This Row],[LOW PROFILE SWITCH]]</f>
        <v>28</v>
      </c>
    </row>
    <row r="65" spans="1:12" ht="15.75" customHeight="1">
      <c r="A65" s="40" t="s">
        <v>71</v>
      </c>
      <c r="B65" s="23" t="s">
        <v>32</v>
      </c>
      <c r="C65" s="6">
        <v>8</v>
      </c>
      <c r="D65" s="6">
        <v>2</v>
      </c>
      <c r="E65" s="6"/>
      <c r="F65" s="28"/>
      <c r="G65" s="6">
        <v>0</v>
      </c>
      <c r="H65" s="6">
        <v>2</v>
      </c>
      <c r="I65" s="6">
        <v>6</v>
      </c>
      <c r="J65" s="6">
        <v>12</v>
      </c>
      <c r="K65" s="41">
        <f>SUM(Table2[[#This Row],[ASSISTIVE PENCIL GRIP]:[UTENSIL HOLDER]])</f>
        <v>22</v>
      </c>
      <c r="L65" s="6">
        <f>Table2[[#This Row],[DEVICE COUNT]]-Table2[[#This Row],[LOW PROFILE SWITCH]]</f>
        <v>22</v>
      </c>
    </row>
    <row r="66" spans="1:12" ht="15.75" customHeight="1">
      <c r="A66" s="40" t="s">
        <v>72</v>
      </c>
      <c r="B66" s="23" t="s">
        <v>20</v>
      </c>
      <c r="C66" s="6">
        <v>5</v>
      </c>
      <c r="D66" s="6">
        <v>0</v>
      </c>
      <c r="E66" s="6"/>
      <c r="F66" s="28"/>
      <c r="G66" s="6">
        <v>0</v>
      </c>
      <c r="H66" s="6">
        <v>0</v>
      </c>
      <c r="I66" s="6">
        <v>15</v>
      </c>
      <c r="J66" s="6">
        <v>0</v>
      </c>
      <c r="K66" s="41">
        <f>SUM(Table2[[#This Row],[ASSISTIVE PENCIL GRIP]:[UTENSIL HOLDER]])</f>
        <v>15</v>
      </c>
      <c r="L66" s="6">
        <f>Table2[[#This Row],[DEVICE COUNT]]-Table2[[#This Row],[LOW PROFILE SWITCH]]</f>
        <v>15</v>
      </c>
    </row>
    <row r="67" spans="1:12" ht="15.75" customHeight="1">
      <c r="A67" s="40" t="s">
        <v>73</v>
      </c>
      <c r="B67" s="23" t="s">
        <v>20</v>
      </c>
      <c r="C67" s="6">
        <v>1</v>
      </c>
      <c r="D67" s="6">
        <v>2</v>
      </c>
      <c r="E67" s="6"/>
      <c r="F67" s="28"/>
      <c r="G67" s="6">
        <v>0</v>
      </c>
      <c r="H67" s="6">
        <v>0</v>
      </c>
      <c r="I67" s="6">
        <v>0</v>
      </c>
      <c r="J67" s="6">
        <v>0</v>
      </c>
      <c r="K67" s="41">
        <f>SUM(Table2[[#This Row],[ASSISTIVE PENCIL GRIP]:[UTENSIL HOLDER]])</f>
        <v>2</v>
      </c>
      <c r="L67" s="6">
        <f>Table2[[#This Row],[DEVICE COUNT]]-Table2[[#This Row],[LOW PROFILE SWITCH]]</f>
        <v>2</v>
      </c>
    </row>
    <row r="68" spans="1:12" ht="15.75" customHeight="1">
      <c r="A68" s="40" t="s">
        <v>74</v>
      </c>
      <c r="B68" s="23" t="s">
        <v>23</v>
      </c>
      <c r="C68" s="6">
        <v>8</v>
      </c>
      <c r="D68" s="6">
        <v>2</v>
      </c>
      <c r="E68" s="6">
        <v>2</v>
      </c>
      <c r="F68" s="28"/>
      <c r="G68" s="6">
        <v>6</v>
      </c>
      <c r="H68" s="6">
        <v>0</v>
      </c>
      <c r="I68" s="6">
        <v>3</v>
      </c>
      <c r="J68" s="6">
        <v>6</v>
      </c>
      <c r="K68" s="41">
        <f>SUM(Table2[[#This Row],[ASSISTIVE PENCIL GRIP]:[UTENSIL HOLDER]])</f>
        <v>19</v>
      </c>
      <c r="L68" s="6">
        <f>Table2[[#This Row],[DEVICE COUNT]]-Table2[[#This Row],[LOW PROFILE SWITCH]]</f>
        <v>19</v>
      </c>
    </row>
    <row r="69" spans="1:12" ht="15.75" customHeight="1">
      <c r="A69" s="40" t="s">
        <v>75</v>
      </c>
      <c r="B69" s="23" t="s">
        <v>22</v>
      </c>
      <c r="C69" s="6">
        <v>4</v>
      </c>
      <c r="D69" s="6">
        <v>0</v>
      </c>
      <c r="E69" s="6">
        <v>1</v>
      </c>
      <c r="F69" s="28">
        <v>1</v>
      </c>
      <c r="G69" s="6">
        <v>3</v>
      </c>
      <c r="H69" s="6">
        <v>0</v>
      </c>
      <c r="I69" s="6">
        <v>3</v>
      </c>
      <c r="J69" s="6">
        <v>0</v>
      </c>
      <c r="K69" s="41">
        <f>SUM(Table2[[#This Row],[ASSISTIVE PENCIL GRIP]:[UTENSIL HOLDER]])</f>
        <v>8</v>
      </c>
      <c r="L69" s="6">
        <f>Table2[[#This Row],[DEVICE COUNT]]-Table2[[#This Row],[LOW PROFILE SWITCH]]</f>
        <v>7</v>
      </c>
    </row>
    <row r="70" spans="1:12" ht="15.75" customHeight="1">
      <c r="A70" s="40" t="s">
        <v>76</v>
      </c>
      <c r="B70" s="24" t="s">
        <v>32</v>
      </c>
      <c r="C70" s="6">
        <v>2</v>
      </c>
      <c r="D70" s="6">
        <v>0</v>
      </c>
      <c r="E70" s="6"/>
      <c r="F70" s="28">
        <v>2</v>
      </c>
      <c r="G70" s="6">
        <v>0</v>
      </c>
      <c r="H70" s="6">
        <v>0</v>
      </c>
      <c r="I70" s="6">
        <v>0</v>
      </c>
      <c r="J70" s="6">
        <v>0</v>
      </c>
      <c r="K70" s="41">
        <f>SUM(Table2[[#This Row],[ASSISTIVE PENCIL GRIP]:[UTENSIL HOLDER]])</f>
        <v>2</v>
      </c>
      <c r="L70" s="49">
        <f>Table2[[#This Row],[DEVICE COUNT]]-Table2[[#This Row],[LOW PROFILE SWITCH]]</f>
        <v>0</v>
      </c>
    </row>
    <row r="71" spans="1:12" ht="15.75" customHeight="1">
      <c r="A71" s="40" t="s">
        <v>77</v>
      </c>
      <c r="B71" s="23" t="s">
        <v>32</v>
      </c>
      <c r="C71" s="6">
        <v>7</v>
      </c>
      <c r="D71" s="6">
        <v>0</v>
      </c>
      <c r="E71" s="6">
        <v>3</v>
      </c>
      <c r="F71" s="28"/>
      <c r="G71" s="6">
        <v>9</v>
      </c>
      <c r="H71" s="6">
        <v>0</v>
      </c>
      <c r="I71" s="6">
        <v>0</v>
      </c>
      <c r="J71" s="6">
        <v>3</v>
      </c>
      <c r="K71" s="41">
        <f>SUM(Table2[[#This Row],[ASSISTIVE PENCIL GRIP]:[UTENSIL HOLDER]])</f>
        <v>15</v>
      </c>
      <c r="L71" s="6">
        <f>Table2[[#This Row],[DEVICE COUNT]]-Table2[[#This Row],[LOW PROFILE SWITCH]]</f>
        <v>15</v>
      </c>
    </row>
    <row r="72" spans="1:12" ht="15.75" customHeight="1">
      <c r="A72" s="40" t="s">
        <v>78</v>
      </c>
      <c r="B72" s="23" t="s">
        <v>31</v>
      </c>
      <c r="C72" s="6">
        <v>5</v>
      </c>
      <c r="D72" s="6">
        <v>0</v>
      </c>
      <c r="E72" s="6"/>
      <c r="F72" s="28">
        <v>1</v>
      </c>
      <c r="G72" s="6">
        <v>3</v>
      </c>
      <c r="H72" s="6">
        <v>0</v>
      </c>
      <c r="I72" s="6">
        <v>0</v>
      </c>
      <c r="J72" s="6">
        <v>9</v>
      </c>
      <c r="K72" s="41">
        <f>SUM(Table2[[#This Row],[ASSISTIVE PENCIL GRIP]:[UTENSIL HOLDER]])</f>
        <v>13</v>
      </c>
      <c r="L72" s="6">
        <f>Table2[[#This Row],[DEVICE COUNT]]-Table2[[#This Row],[LOW PROFILE SWITCH]]</f>
        <v>12</v>
      </c>
    </row>
    <row r="73" spans="1:12" ht="15.75" customHeight="1">
      <c r="A73" s="40" t="s">
        <v>79</v>
      </c>
      <c r="B73" s="23" t="s">
        <v>25</v>
      </c>
      <c r="C73" s="6">
        <v>11</v>
      </c>
      <c r="D73" s="6">
        <v>0</v>
      </c>
      <c r="E73" s="6">
        <v>1</v>
      </c>
      <c r="F73" s="28">
        <v>1</v>
      </c>
      <c r="G73" s="6">
        <v>21</v>
      </c>
      <c r="H73" s="6">
        <v>0</v>
      </c>
      <c r="I73" s="6">
        <v>0</v>
      </c>
      <c r="J73" s="6">
        <v>6</v>
      </c>
      <c r="K73" s="41">
        <f>SUM(Table2[[#This Row],[ASSISTIVE PENCIL GRIP]:[UTENSIL HOLDER]])</f>
        <v>29</v>
      </c>
      <c r="L73" s="6">
        <f>Table2[[#This Row],[DEVICE COUNT]]-Table2[[#This Row],[LOW PROFILE SWITCH]]</f>
        <v>28</v>
      </c>
    </row>
    <row r="74" spans="1:12" ht="15.75" customHeight="1">
      <c r="A74" s="40" t="s">
        <v>80</v>
      </c>
      <c r="B74" s="23" t="s">
        <v>25</v>
      </c>
      <c r="C74" s="6">
        <v>3</v>
      </c>
      <c r="D74" s="6">
        <v>2</v>
      </c>
      <c r="E74" s="6">
        <v>1</v>
      </c>
      <c r="F74" s="28"/>
      <c r="G74" s="6">
        <v>0</v>
      </c>
      <c r="H74" s="6">
        <v>0</v>
      </c>
      <c r="I74" s="6">
        <v>0</v>
      </c>
      <c r="J74" s="6">
        <v>3</v>
      </c>
      <c r="K74" s="41">
        <f>SUM(Table2[[#This Row],[ASSISTIVE PENCIL GRIP]:[UTENSIL HOLDER]])</f>
        <v>6</v>
      </c>
      <c r="L74" s="6">
        <f>Table2[[#This Row],[DEVICE COUNT]]-Table2[[#This Row],[LOW PROFILE SWITCH]]</f>
        <v>6</v>
      </c>
    </row>
    <row r="75" spans="1:12" ht="15.75" customHeight="1">
      <c r="A75" s="40" t="s">
        <v>81</v>
      </c>
      <c r="B75" s="23" t="s">
        <v>28</v>
      </c>
      <c r="C75" s="6">
        <v>6</v>
      </c>
      <c r="D75" s="6">
        <v>2</v>
      </c>
      <c r="E75" s="6">
        <v>2</v>
      </c>
      <c r="F75" s="28">
        <v>2</v>
      </c>
      <c r="G75" s="6">
        <v>0</v>
      </c>
      <c r="H75" s="6">
        <v>0</v>
      </c>
      <c r="I75" s="6">
        <v>3</v>
      </c>
      <c r="J75" s="6">
        <v>0</v>
      </c>
      <c r="K75" s="41">
        <f>SUM(Table2[[#This Row],[ASSISTIVE PENCIL GRIP]:[UTENSIL HOLDER]])</f>
        <v>9</v>
      </c>
      <c r="L75" s="6">
        <f>Table2[[#This Row],[DEVICE COUNT]]-Table2[[#This Row],[LOW PROFILE SWITCH]]</f>
        <v>7</v>
      </c>
    </row>
    <row r="76" spans="1:12" ht="15.75" customHeight="1">
      <c r="A76" s="40" t="s">
        <v>82</v>
      </c>
      <c r="B76" s="23" t="s">
        <v>20</v>
      </c>
      <c r="C76" s="6">
        <v>21</v>
      </c>
      <c r="D76" s="6">
        <v>2</v>
      </c>
      <c r="E76" s="6"/>
      <c r="F76" s="28">
        <v>5</v>
      </c>
      <c r="G76" s="6">
        <v>18</v>
      </c>
      <c r="H76" s="6">
        <v>0</v>
      </c>
      <c r="I76" s="6">
        <v>6</v>
      </c>
      <c r="J76" s="6">
        <v>21</v>
      </c>
      <c r="K76" s="41">
        <f>SUM(Table2[[#This Row],[ASSISTIVE PENCIL GRIP]:[UTENSIL HOLDER]])</f>
        <v>52</v>
      </c>
      <c r="L76" s="6">
        <f>Table2[[#This Row],[DEVICE COUNT]]-Table2[[#This Row],[LOW PROFILE SWITCH]]</f>
        <v>47</v>
      </c>
    </row>
    <row r="77" spans="1:12" ht="15.75" customHeight="1">
      <c r="A77" s="40" t="s">
        <v>83</v>
      </c>
      <c r="B77" s="23" t="s">
        <v>32</v>
      </c>
      <c r="C77" s="6">
        <v>6</v>
      </c>
      <c r="D77" s="6">
        <v>2</v>
      </c>
      <c r="E77" s="6"/>
      <c r="F77" s="28"/>
      <c r="G77" s="6">
        <v>6</v>
      </c>
      <c r="H77" s="6">
        <v>2</v>
      </c>
      <c r="I77" s="6">
        <v>3</v>
      </c>
      <c r="J77" s="6">
        <v>3</v>
      </c>
      <c r="K77" s="41">
        <f>SUM(Table2[[#This Row],[ASSISTIVE PENCIL GRIP]:[UTENSIL HOLDER]])</f>
        <v>16</v>
      </c>
      <c r="L77" s="6">
        <f>Table2[[#This Row],[DEVICE COUNT]]-Table2[[#This Row],[LOW PROFILE SWITCH]]</f>
        <v>16</v>
      </c>
    </row>
    <row r="78" spans="1:12" ht="15.75" customHeight="1">
      <c r="A78" s="40" t="s">
        <v>84</v>
      </c>
      <c r="B78" s="23" t="s">
        <v>20</v>
      </c>
      <c r="C78" s="6">
        <v>6</v>
      </c>
      <c r="D78" s="6">
        <v>0</v>
      </c>
      <c r="E78" s="6">
        <v>2</v>
      </c>
      <c r="F78" s="28"/>
      <c r="G78" s="6">
        <v>9</v>
      </c>
      <c r="H78" s="6">
        <v>0</v>
      </c>
      <c r="I78" s="6">
        <v>0</v>
      </c>
      <c r="J78" s="6">
        <v>3</v>
      </c>
      <c r="K78" s="41">
        <f>SUM(Table2[[#This Row],[ASSISTIVE PENCIL GRIP]:[UTENSIL HOLDER]])</f>
        <v>14</v>
      </c>
      <c r="L78" s="6">
        <f>Table2[[#This Row],[DEVICE COUNT]]-Table2[[#This Row],[LOW PROFILE SWITCH]]</f>
        <v>14</v>
      </c>
    </row>
    <row r="79" spans="1:12" ht="15.75" customHeight="1">
      <c r="A79" s="40" t="s">
        <v>85</v>
      </c>
      <c r="B79" s="23" t="s">
        <v>25</v>
      </c>
      <c r="C79" s="6">
        <v>9</v>
      </c>
      <c r="D79" s="6">
        <v>0</v>
      </c>
      <c r="E79" s="6">
        <v>4</v>
      </c>
      <c r="F79" s="28"/>
      <c r="G79" s="6">
        <v>3</v>
      </c>
      <c r="H79" s="6">
        <v>2</v>
      </c>
      <c r="I79" s="6">
        <v>0</v>
      </c>
      <c r="J79" s="6">
        <v>9</v>
      </c>
      <c r="K79" s="41">
        <f>SUM(Table2[[#This Row],[ASSISTIVE PENCIL GRIP]:[UTENSIL HOLDER]])</f>
        <v>18</v>
      </c>
      <c r="L79" s="6">
        <f>Table2[[#This Row],[DEVICE COUNT]]-Table2[[#This Row],[LOW PROFILE SWITCH]]</f>
        <v>18</v>
      </c>
    </row>
    <row r="80" spans="1:12" ht="15.75" customHeight="1">
      <c r="A80" s="40" t="s">
        <v>86</v>
      </c>
      <c r="B80" s="23" t="s">
        <v>28</v>
      </c>
      <c r="C80" s="6">
        <v>11</v>
      </c>
      <c r="D80" s="6">
        <v>0</v>
      </c>
      <c r="E80" s="6"/>
      <c r="F80" s="28">
        <v>2</v>
      </c>
      <c r="G80" s="6">
        <v>3</v>
      </c>
      <c r="H80" s="6">
        <v>2</v>
      </c>
      <c r="I80" s="6">
        <v>15</v>
      </c>
      <c r="J80" s="6">
        <v>6</v>
      </c>
      <c r="K80" s="41">
        <f>SUM(Table2[[#This Row],[ASSISTIVE PENCIL GRIP]:[UTENSIL HOLDER]])</f>
        <v>28</v>
      </c>
      <c r="L80" s="6">
        <f>Table2[[#This Row],[DEVICE COUNT]]-Table2[[#This Row],[LOW PROFILE SWITCH]]</f>
        <v>26</v>
      </c>
    </row>
    <row r="81" spans="1:27" ht="15.75" customHeight="1">
      <c r="A81" s="40" t="s">
        <v>87</v>
      </c>
      <c r="B81" s="23" t="s">
        <v>32</v>
      </c>
      <c r="C81" s="6">
        <v>11</v>
      </c>
      <c r="D81" s="6">
        <v>2</v>
      </c>
      <c r="E81" s="6">
        <v>3</v>
      </c>
      <c r="F81" s="28">
        <v>5</v>
      </c>
      <c r="G81" s="6">
        <v>3</v>
      </c>
      <c r="H81" s="6">
        <v>0</v>
      </c>
      <c r="I81" s="6">
        <v>3</v>
      </c>
      <c r="J81" s="6">
        <v>0</v>
      </c>
      <c r="K81" s="41">
        <f>SUM(Table2[[#This Row],[ASSISTIVE PENCIL GRIP]:[UTENSIL HOLDER]])</f>
        <v>16</v>
      </c>
      <c r="L81" s="6">
        <f>Table2[[#This Row],[DEVICE COUNT]]-Table2[[#This Row],[LOW PROFILE SWITCH]]</f>
        <v>11</v>
      </c>
    </row>
    <row r="82" spans="1:27" ht="15.75" customHeight="1">
      <c r="A82" s="40" t="s">
        <v>88</v>
      </c>
      <c r="B82" s="23" t="s">
        <v>20</v>
      </c>
      <c r="C82" s="6">
        <v>6</v>
      </c>
      <c r="D82" s="6">
        <v>0</v>
      </c>
      <c r="E82" s="6">
        <v>1</v>
      </c>
      <c r="F82" s="28"/>
      <c r="G82" s="6">
        <v>0</v>
      </c>
      <c r="H82" s="6">
        <v>4</v>
      </c>
      <c r="I82" s="6">
        <v>3</v>
      </c>
      <c r="J82" s="6">
        <v>6</v>
      </c>
      <c r="K82" s="41">
        <f>SUM(Table2[[#This Row],[ASSISTIVE PENCIL GRIP]:[UTENSIL HOLDER]])</f>
        <v>14</v>
      </c>
      <c r="L82" s="6">
        <f>Table2[[#This Row],[DEVICE COUNT]]-Table2[[#This Row],[LOW PROFILE SWITCH]]</f>
        <v>14</v>
      </c>
    </row>
    <row r="83" spans="1:27" ht="15.75" customHeight="1">
      <c r="A83" s="40" t="s">
        <v>89</v>
      </c>
      <c r="B83" s="23" t="s">
        <v>26</v>
      </c>
      <c r="C83" s="6">
        <v>9</v>
      </c>
      <c r="D83" s="6">
        <v>2</v>
      </c>
      <c r="E83" s="6">
        <v>1</v>
      </c>
      <c r="F83" s="28">
        <v>3</v>
      </c>
      <c r="G83" s="6">
        <v>3</v>
      </c>
      <c r="H83" s="6">
        <v>2</v>
      </c>
      <c r="I83" s="6">
        <v>0</v>
      </c>
      <c r="J83" s="6">
        <v>6</v>
      </c>
      <c r="K83" s="41">
        <f>SUM(Table2[[#This Row],[ASSISTIVE PENCIL GRIP]:[UTENSIL HOLDER]])</f>
        <v>17</v>
      </c>
      <c r="L83" s="6">
        <f>Table2[[#This Row],[DEVICE COUNT]]-Table2[[#This Row],[LOW PROFILE SWITCH]]</f>
        <v>14</v>
      </c>
    </row>
    <row r="84" spans="1:27" ht="15.75" customHeight="1">
      <c r="A84" s="46" t="s">
        <v>34</v>
      </c>
      <c r="B84" s="47"/>
      <c r="C84" s="47">
        <f t="shared" ref="C84:F84" si="2">SUM(C33:C83)</f>
        <v>370</v>
      </c>
      <c r="D84" s="47">
        <f t="shared" si="2"/>
        <v>80</v>
      </c>
      <c r="E84" s="47">
        <f t="shared" si="2"/>
        <v>50</v>
      </c>
      <c r="F84" s="47">
        <f t="shared" si="2"/>
        <v>50</v>
      </c>
      <c r="G84" s="47">
        <f>SUM(G33:G83)</f>
        <v>210</v>
      </c>
      <c r="H84" s="47">
        <f t="shared" ref="H84" si="3">SUM(H33:H83)</f>
        <v>60</v>
      </c>
      <c r="I84" s="47">
        <f t="shared" ref="I84" si="4">SUM(I33:I83)</f>
        <v>180</v>
      </c>
      <c r="J84" s="47">
        <f t="shared" ref="J84" si="5">SUM(J33:J83)</f>
        <v>210</v>
      </c>
      <c r="K84" s="41">
        <f>SUM(Table2[[#This Row],[ASSISTIVE PENCIL GRIP]:[UTENSIL HOLDER]])</f>
        <v>840</v>
      </c>
      <c r="L84" s="47">
        <f>Table2[[#This Row],[DEVICE COUNT]]-Table2[[#This Row],[LOW PROFILE SWITCH]]</f>
        <v>790</v>
      </c>
      <c r="M84" s="9"/>
      <c r="N84" s="9"/>
      <c r="O84" s="9"/>
      <c r="P84" s="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>
      <c r="A85" s="9"/>
      <c r="B85" s="19"/>
      <c r="C85" s="9"/>
      <c r="D85" s="9"/>
      <c r="E85" s="9"/>
      <c r="F85" s="9"/>
      <c r="G85" s="9"/>
      <c r="H85" s="9"/>
      <c r="I85" s="9"/>
      <c r="J85" s="9"/>
      <c r="K85" s="9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>
      <c r="A86" s="7"/>
      <c r="B86" s="1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>
      <c r="A87" s="7"/>
      <c r="B87" s="1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>
      <c r="A88" s="7"/>
      <c r="B88" s="1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>
      <c r="A89" s="7"/>
      <c r="B89" s="1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>
      <c r="B90" s="1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>
      <c r="A91" s="7"/>
      <c r="B91" s="1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/>
    <row r="93" spans="1:27" ht="15.75" customHeight="1"/>
    <row r="94" spans="1:27" ht="15.75" customHeight="1"/>
    <row r="95" spans="1:27" ht="15.75" customHeight="1"/>
    <row r="96" spans="1:27" ht="15.75" customHeight="1"/>
    <row r="97" spans="1:1" ht="15.75" customHeight="1"/>
    <row r="98" spans="1:1" ht="15.75" customHeight="1"/>
    <row r="99" spans="1:1" ht="15.75" customHeight="1"/>
    <row r="100" spans="1:1" ht="15.75" customHeight="1"/>
    <row r="101" spans="1:1" ht="15.75" customHeight="1"/>
    <row r="102" spans="1:1" ht="15.75" customHeight="1"/>
    <row r="103" spans="1:1" ht="15.75" customHeight="1"/>
    <row r="104" spans="1:1" ht="15.75" customHeight="1"/>
    <row r="105" spans="1:1" ht="15.75" customHeight="1"/>
    <row r="106" spans="1:1" ht="15.75" customHeight="1">
      <c r="A106" s="7"/>
    </row>
    <row r="107" spans="1:1" ht="15.75" customHeight="1"/>
    <row r="108" spans="1:1" ht="15.75" customHeight="1"/>
    <row r="109" spans="1:1" ht="15.75" customHeight="1"/>
    <row r="110" spans="1:1" ht="15.75" customHeight="1"/>
    <row r="111" spans="1:1" ht="15.75" customHeight="1"/>
    <row r="112" spans="1: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</sheetData>
  <mergeCells count="1">
    <mergeCell ref="A13:I1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508"/>
  <sheetViews>
    <sheetView topLeftCell="A275" workbookViewId="0">
      <selection sqref="A1:L376"/>
    </sheetView>
  </sheetViews>
  <sheetFormatPr defaultColWidth="14.42578125" defaultRowHeight="15" customHeight="1"/>
  <cols>
    <col min="1" max="1" width="7.28515625" style="14" customWidth="1"/>
    <col min="2" max="2" width="12" customWidth="1"/>
    <col min="3" max="3" width="14.7109375" bestFit="1" customWidth="1"/>
    <col min="4" max="4" width="23.42578125" bestFit="1" customWidth="1"/>
    <col min="5" max="5" width="12" customWidth="1"/>
    <col min="6" max="6" width="40.28515625" customWidth="1"/>
    <col min="7" max="7" width="8.7109375" customWidth="1"/>
    <col min="8" max="8" width="7.85546875" customWidth="1"/>
    <col min="9" max="9" width="6.5703125" customWidth="1"/>
    <col min="10" max="10" width="7.42578125" customWidth="1"/>
    <col min="11" max="11" width="7.28515625" customWidth="1"/>
    <col min="12" max="12" width="24" customWidth="1"/>
    <col min="13" max="13" width="29.140625" customWidth="1"/>
  </cols>
  <sheetData>
    <row r="1" spans="1:24" ht="23.25" customHeight="1">
      <c r="A1" s="51" t="s">
        <v>90</v>
      </c>
      <c r="B1" s="52" t="s">
        <v>15</v>
      </c>
      <c r="C1" s="53" t="s">
        <v>91</v>
      </c>
      <c r="D1" s="52" t="s">
        <v>92</v>
      </c>
      <c r="E1" s="52" t="s">
        <v>93</v>
      </c>
      <c r="F1" s="52" t="s">
        <v>35</v>
      </c>
      <c r="G1" s="52" t="s">
        <v>94</v>
      </c>
      <c r="H1" s="52" t="s">
        <v>95</v>
      </c>
      <c r="I1" s="52" t="s">
        <v>96</v>
      </c>
      <c r="J1" s="52" t="s">
        <v>97</v>
      </c>
      <c r="K1" s="52" t="s">
        <v>98</v>
      </c>
      <c r="L1" s="52" t="s">
        <v>99</v>
      </c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idden="1">
      <c r="A2" s="54">
        <v>1</v>
      </c>
      <c r="B2" s="54" t="s">
        <v>21</v>
      </c>
      <c r="C2" s="54" t="s">
        <v>100</v>
      </c>
      <c r="D2" s="54" t="s">
        <v>101</v>
      </c>
      <c r="E2" s="54" t="s">
        <v>102</v>
      </c>
      <c r="F2" s="54" t="s">
        <v>39</v>
      </c>
      <c r="G2" s="55"/>
      <c r="H2" s="54"/>
      <c r="I2" s="54"/>
      <c r="J2" s="54"/>
      <c r="K2" s="54"/>
      <c r="L2" s="54" t="s">
        <v>16</v>
      </c>
      <c r="M2" s="3"/>
    </row>
    <row r="3" spans="1:24" hidden="1">
      <c r="A3" s="54">
        <v>2</v>
      </c>
      <c r="B3" s="54" t="s">
        <v>21</v>
      </c>
      <c r="C3" s="54" t="s">
        <v>103</v>
      </c>
      <c r="D3" s="54" t="s">
        <v>104</v>
      </c>
      <c r="E3" s="54" t="s">
        <v>105</v>
      </c>
      <c r="F3" s="54" t="s">
        <v>39</v>
      </c>
      <c r="G3" s="54" t="s">
        <v>106</v>
      </c>
      <c r="H3" s="54" t="s">
        <v>107</v>
      </c>
      <c r="I3" s="54" t="s">
        <v>108</v>
      </c>
      <c r="J3" s="54" t="s">
        <v>109</v>
      </c>
      <c r="K3" s="54" t="s">
        <v>110</v>
      </c>
      <c r="L3" s="54" t="s">
        <v>111</v>
      </c>
      <c r="M3" s="3"/>
    </row>
    <row r="4" spans="1:24" hidden="1">
      <c r="A4" s="54">
        <v>3</v>
      </c>
      <c r="B4" s="54" t="s">
        <v>21</v>
      </c>
      <c r="C4" s="54" t="s">
        <v>112</v>
      </c>
      <c r="D4" s="54" t="s">
        <v>113</v>
      </c>
      <c r="E4" s="54" t="s">
        <v>102</v>
      </c>
      <c r="F4" s="54" t="s">
        <v>39</v>
      </c>
      <c r="G4" s="54" t="s">
        <v>114</v>
      </c>
      <c r="H4" s="54" t="s">
        <v>115</v>
      </c>
      <c r="I4" s="54" t="s">
        <v>116</v>
      </c>
      <c r="J4" s="54" t="s">
        <v>109</v>
      </c>
      <c r="K4" s="54" t="s">
        <v>110</v>
      </c>
      <c r="L4" s="54" t="s">
        <v>117</v>
      </c>
      <c r="M4" s="3"/>
    </row>
    <row r="5" spans="1:24" hidden="1">
      <c r="A5" s="54">
        <v>4</v>
      </c>
      <c r="B5" s="54" t="s">
        <v>21</v>
      </c>
      <c r="C5" s="54" t="s">
        <v>118</v>
      </c>
      <c r="D5" s="54" t="s">
        <v>119</v>
      </c>
      <c r="E5" s="54" t="s">
        <v>102</v>
      </c>
      <c r="F5" s="54" t="s">
        <v>39</v>
      </c>
      <c r="G5" s="54" t="s">
        <v>120</v>
      </c>
      <c r="H5" s="54" t="s">
        <v>121</v>
      </c>
      <c r="I5" s="54"/>
      <c r="J5" s="54"/>
      <c r="K5" s="54"/>
      <c r="L5" s="54" t="s">
        <v>122</v>
      </c>
      <c r="M5" s="3"/>
    </row>
    <row r="6" spans="1:24" hidden="1">
      <c r="A6" s="54">
        <v>5</v>
      </c>
      <c r="B6" s="54" t="s">
        <v>21</v>
      </c>
      <c r="C6" s="54" t="s">
        <v>123</v>
      </c>
      <c r="D6" s="54" t="s">
        <v>124</v>
      </c>
      <c r="E6" s="54" t="s">
        <v>125</v>
      </c>
      <c r="F6" s="54" t="s">
        <v>39</v>
      </c>
      <c r="G6" s="55"/>
      <c r="H6" s="54"/>
      <c r="I6" s="54"/>
      <c r="J6" s="54"/>
      <c r="K6" s="54"/>
      <c r="L6" s="54" t="s">
        <v>122</v>
      </c>
      <c r="M6" s="3"/>
    </row>
    <row r="7" spans="1:24" hidden="1">
      <c r="A7" s="54">
        <v>6</v>
      </c>
      <c r="B7" s="54" t="s">
        <v>21</v>
      </c>
      <c r="C7" s="54" t="s">
        <v>126</v>
      </c>
      <c r="D7" s="54" t="s">
        <v>127</v>
      </c>
      <c r="E7" s="54" t="s">
        <v>102</v>
      </c>
      <c r="F7" s="54" t="s">
        <v>39</v>
      </c>
      <c r="G7" s="54" t="s">
        <v>128</v>
      </c>
      <c r="H7" s="54" t="s">
        <v>129</v>
      </c>
      <c r="I7" s="54" t="s">
        <v>108</v>
      </c>
      <c r="J7" s="54" t="s">
        <v>130</v>
      </c>
      <c r="K7" s="54" t="s">
        <v>110</v>
      </c>
      <c r="L7" s="54" t="s">
        <v>117</v>
      </c>
      <c r="M7" s="3"/>
    </row>
    <row r="8" spans="1:24" hidden="1">
      <c r="A8" s="54">
        <v>7</v>
      </c>
      <c r="B8" s="54" t="s">
        <v>21</v>
      </c>
      <c r="C8" s="54" t="s">
        <v>131</v>
      </c>
      <c r="D8" s="54" t="s">
        <v>132</v>
      </c>
      <c r="E8" s="54" t="s">
        <v>102</v>
      </c>
      <c r="F8" s="54" t="s">
        <v>39</v>
      </c>
      <c r="G8" s="54" t="s">
        <v>133</v>
      </c>
      <c r="H8" s="54" t="s">
        <v>134</v>
      </c>
      <c r="I8" s="54" t="s">
        <v>108</v>
      </c>
      <c r="J8" s="54" t="s">
        <v>135</v>
      </c>
      <c r="K8" s="54" t="s">
        <v>136</v>
      </c>
      <c r="L8" s="54" t="s">
        <v>111</v>
      </c>
      <c r="M8" s="3"/>
    </row>
    <row r="9" spans="1:24" hidden="1">
      <c r="A9" s="54">
        <v>8</v>
      </c>
      <c r="B9" s="54" t="s">
        <v>21</v>
      </c>
      <c r="C9" s="54" t="s">
        <v>137</v>
      </c>
      <c r="D9" s="54" t="s">
        <v>138</v>
      </c>
      <c r="E9" s="54" t="s">
        <v>102</v>
      </c>
      <c r="F9" s="54" t="s">
        <v>39</v>
      </c>
      <c r="G9" s="54" t="s">
        <v>139</v>
      </c>
      <c r="H9" s="54" t="s">
        <v>140</v>
      </c>
      <c r="I9" s="54"/>
      <c r="J9" s="54"/>
      <c r="K9" s="54"/>
      <c r="L9" s="54" t="s">
        <v>122</v>
      </c>
      <c r="M9" s="3"/>
    </row>
    <row r="10" spans="1:24" hidden="1">
      <c r="A10" s="54">
        <v>9</v>
      </c>
      <c r="B10" s="54" t="s">
        <v>29</v>
      </c>
      <c r="C10" s="54" t="s">
        <v>141</v>
      </c>
      <c r="D10" s="54" t="s">
        <v>142</v>
      </c>
      <c r="E10" s="54" t="s">
        <v>143</v>
      </c>
      <c r="F10" s="54" t="s">
        <v>40</v>
      </c>
      <c r="G10" s="54" t="s">
        <v>144</v>
      </c>
      <c r="H10" s="54" t="s">
        <v>145</v>
      </c>
      <c r="I10" s="54"/>
      <c r="J10" s="54"/>
      <c r="K10" s="54"/>
      <c r="L10" s="54" t="s">
        <v>16</v>
      </c>
      <c r="M10" s="3"/>
    </row>
    <row r="11" spans="1:24" hidden="1">
      <c r="A11" s="54">
        <v>10</v>
      </c>
      <c r="B11" s="54" t="s">
        <v>29</v>
      </c>
      <c r="C11" s="54" t="s">
        <v>146</v>
      </c>
      <c r="D11" s="54" t="s">
        <v>147</v>
      </c>
      <c r="E11" s="54" t="s">
        <v>143</v>
      </c>
      <c r="F11" s="54" t="s">
        <v>40</v>
      </c>
      <c r="G11" s="54" t="s">
        <v>148</v>
      </c>
      <c r="H11" s="54" t="s">
        <v>149</v>
      </c>
      <c r="I11" s="54" t="s">
        <v>135</v>
      </c>
      <c r="J11" s="54" t="s">
        <v>136</v>
      </c>
      <c r="K11" s="54" t="s">
        <v>150</v>
      </c>
      <c r="L11" s="54" t="s">
        <v>111</v>
      </c>
      <c r="M11" s="3"/>
    </row>
    <row r="12" spans="1:24">
      <c r="A12" s="54">
        <v>11</v>
      </c>
      <c r="B12" s="54" t="s">
        <v>29</v>
      </c>
      <c r="C12" s="54" t="s">
        <v>151</v>
      </c>
      <c r="D12" s="54" t="s">
        <v>152</v>
      </c>
      <c r="E12" s="54" t="s">
        <v>143</v>
      </c>
      <c r="F12" s="54" t="s">
        <v>40</v>
      </c>
      <c r="G12" s="55"/>
      <c r="H12" s="54"/>
      <c r="I12" s="54"/>
      <c r="J12" s="54"/>
      <c r="K12" s="54"/>
      <c r="L12" s="54" t="s">
        <v>12</v>
      </c>
      <c r="M12" s="3"/>
    </row>
    <row r="13" spans="1:24" hidden="1">
      <c r="A13" s="54">
        <v>12</v>
      </c>
      <c r="B13" s="54" t="s">
        <v>29</v>
      </c>
      <c r="C13" s="54" t="s">
        <v>153</v>
      </c>
      <c r="D13" s="54" t="s">
        <v>154</v>
      </c>
      <c r="E13" s="54" t="s">
        <v>105</v>
      </c>
      <c r="F13" s="54" t="s">
        <v>40</v>
      </c>
      <c r="G13" s="54" t="s">
        <v>155</v>
      </c>
      <c r="H13" s="54" t="s">
        <v>156</v>
      </c>
      <c r="I13" s="54"/>
      <c r="J13" s="54"/>
      <c r="K13" s="54"/>
      <c r="L13" s="54" t="s">
        <v>122</v>
      </c>
      <c r="M13" s="3"/>
    </row>
    <row r="14" spans="1:24" hidden="1">
      <c r="A14" s="54">
        <v>13</v>
      </c>
      <c r="B14" s="54" t="s">
        <v>31</v>
      </c>
      <c r="C14" s="54" t="s">
        <v>157</v>
      </c>
      <c r="D14" s="54" t="s">
        <v>158</v>
      </c>
      <c r="E14" s="54" t="s">
        <v>159</v>
      </c>
      <c r="F14" s="54" t="s">
        <v>41</v>
      </c>
      <c r="G14" s="54" t="s">
        <v>160</v>
      </c>
      <c r="H14" s="54" t="s">
        <v>161</v>
      </c>
      <c r="I14" s="54" t="s">
        <v>108</v>
      </c>
      <c r="J14" s="54" t="s">
        <v>135</v>
      </c>
      <c r="K14" s="54" t="s">
        <v>136</v>
      </c>
      <c r="L14" s="54" t="s">
        <v>162</v>
      </c>
      <c r="M14" s="3"/>
    </row>
    <row r="15" spans="1:24">
      <c r="A15" s="54">
        <v>14</v>
      </c>
      <c r="B15" s="54" t="s">
        <v>31</v>
      </c>
      <c r="C15" s="54" t="s">
        <v>163</v>
      </c>
      <c r="D15" s="54" t="s">
        <v>164</v>
      </c>
      <c r="E15" s="54" t="s">
        <v>159</v>
      </c>
      <c r="F15" s="54" t="s">
        <v>41</v>
      </c>
      <c r="G15" s="55"/>
      <c r="H15" s="55"/>
      <c r="I15" s="55"/>
      <c r="J15" s="54"/>
      <c r="K15" s="54"/>
      <c r="L15" s="54" t="s">
        <v>12</v>
      </c>
      <c r="M15" s="3"/>
    </row>
    <row r="16" spans="1:24" hidden="1">
      <c r="A16" s="54">
        <v>15</v>
      </c>
      <c r="B16" s="54" t="s">
        <v>31</v>
      </c>
      <c r="C16" s="54" t="s">
        <v>165</v>
      </c>
      <c r="D16" s="54" t="s">
        <v>166</v>
      </c>
      <c r="E16" s="54" t="s">
        <v>159</v>
      </c>
      <c r="F16" s="54" t="s">
        <v>41</v>
      </c>
      <c r="G16" s="54" t="s">
        <v>167</v>
      </c>
      <c r="H16" s="54" t="s">
        <v>168</v>
      </c>
      <c r="I16" s="54"/>
      <c r="J16" s="54"/>
      <c r="K16" s="54"/>
      <c r="L16" s="54" t="s">
        <v>122</v>
      </c>
      <c r="M16" s="3"/>
    </row>
    <row r="17" spans="1:13" hidden="1">
      <c r="A17" s="54">
        <v>16</v>
      </c>
      <c r="B17" s="54" t="s">
        <v>31</v>
      </c>
      <c r="C17" s="54" t="s">
        <v>169</v>
      </c>
      <c r="D17" s="54" t="s">
        <v>170</v>
      </c>
      <c r="E17" s="54" t="s">
        <v>159</v>
      </c>
      <c r="F17" s="54" t="s">
        <v>41</v>
      </c>
      <c r="G17" s="54" t="s">
        <v>171</v>
      </c>
      <c r="H17" s="54" t="s">
        <v>172</v>
      </c>
      <c r="I17" s="54"/>
      <c r="J17" s="54"/>
      <c r="K17" s="54"/>
      <c r="L17" s="54" t="s">
        <v>122</v>
      </c>
      <c r="M17" s="3"/>
    </row>
    <row r="18" spans="1:13">
      <c r="A18" s="54">
        <v>17</v>
      </c>
      <c r="B18" s="54" t="s">
        <v>31</v>
      </c>
      <c r="C18" s="54" t="s">
        <v>173</v>
      </c>
      <c r="D18" s="54" t="s">
        <v>174</v>
      </c>
      <c r="E18" s="54" t="s">
        <v>102</v>
      </c>
      <c r="F18" s="54" t="s">
        <v>41</v>
      </c>
      <c r="G18" s="55"/>
      <c r="H18" s="55"/>
      <c r="I18" s="55"/>
      <c r="J18" s="54"/>
      <c r="K18" s="54"/>
      <c r="L18" s="54" t="s">
        <v>12</v>
      </c>
      <c r="M18" s="3"/>
    </row>
    <row r="19" spans="1:13" hidden="1">
      <c r="A19" s="54">
        <v>18</v>
      </c>
      <c r="B19" s="54" t="s">
        <v>31</v>
      </c>
      <c r="C19" s="54" t="s">
        <v>175</v>
      </c>
      <c r="D19" s="54" t="s">
        <v>176</v>
      </c>
      <c r="E19" s="54" t="s">
        <v>177</v>
      </c>
      <c r="F19" s="54" t="s">
        <v>41</v>
      </c>
      <c r="G19" s="54" t="s">
        <v>178</v>
      </c>
      <c r="H19" s="54" t="s">
        <v>179</v>
      </c>
      <c r="I19" s="54" t="s">
        <v>108</v>
      </c>
      <c r="J19" s="54" t="s">
        <v>109</v>
      </c>
      <c r="K19" s="54" t="s">
        <v>110</v>
      </c>
      <c r="L19" s="54" t="s">
        <v>111</v>
      </c>
      <c r="M19" s="3"/>
    </row>
    <row r="20" spans="1:13">
      <c r="A20" s="54">
        <v>19</v>
      </c>
      <c r="B20" s="54" t="s">
        <v>31</v>
      </c>
      <c r="C20" s="54" t="s">
        <v>180</v>
      </c>
      <c r="D20" s="54" t="s">
        <v>181</v>
      </c>
      <c r="E20" s="54" t="s">
        <v>159</v>
      </c>
      <c r="F20" s="54" t="s">
        <v>41</v>
      </c>
      <c r="G20" s="55"/>
      <c r="H20" s="55"/>
      <c r="I20" s="55"/>
      <c r="J20" s="54"/>
      <c r="K20" s="54"/>
      <c r="L20" s="54" t="s">
        <v>12</v>
      </c>
      <c r="M20" s="3"/>
    </row>
    <row r="21" spans="1:13" hidden="1">
      <c r="A21" s="54">
        <v>20</v>
      </c>
      <c r="B21" s="54" t="s">
        <v>31</v>
      </c>
      <c r="C21" s="54" t="s">
        <v>182</v>
      </c>
      <c r="D21" s="54" t="s">
        <v>183</v>
      </c>
      <c r="E21" s="54" t="s">
        <v>159</v>
      </c>
      <c r="F21" s="54" t="s">
        <v>41</v>
      </c>
      <c r="G21" s="54" t="s">
        <v>184</v>
      </c>
      <c r="H21" s="54" t="s">
        <v>185</v>
      </c>
      <c r="I21" s="54" t="s">
        <v>186</v>
      </c>
      <c r="J21" s="54" t="s">
        <v>187</v>
      </c>
      <c r="K21" s="54"/>
      <c r="L21" s="54" t="s">
        <v>188</v>
      </c>
      <c r="M21" s="3"/>
    </row>
    <row r="22" spans="1:13" hidden="1">
      <c r="A22" s="54">
        <v>21</v>
      </c>
      <c r="B22" s="54" t="s">
        <v>31</v>
      </c>
      <c r="C22" s="54" t="s">
        <v>189</v>
      </c>
      <c r="D22" s="54" t="s">
        <v>190</v>
      </c>
      <c r="E22" s="54" t="s">
        <v>191</v>
      </c>
      <c r="F22" s="54" t="s">
        <v>41</v>
      </c>
      <c r="G22" s="54" t="s">
        <v>160</v>
      </c>
      <c r="H22" s="54" t="s">
        <v>172</v>
      </c>
      <c r="I22" s="54" t="s">
        <v>108</v>
      </c>
      <c r="J22" s="54" t="s">
        <v>130</v>
      </c>
      <c r="K22" s="54" t="s">
        <v>110</v>
      </c>
      <c r="L22" s="54" t="s">
        <v>162</v>
      </c>
      <c r="M22" s="3"/>
    </row>
    <row r="23" spans="1:13" hidden="1">
      <c r="A23" s="54">
        <v>22</v>
      </c>
      <c r="B23" s="54" t="s">
        <v>20</v>
      </c>
      <c r="C23" s="54" t="s">
        <v>192</v>
      </c>
      <c r="D23" s="54" t="s">
        <v>193</v>
      </c>
      <c r="E23" s="54" t="s">
        <v>194</v>
      </c>
      <c r="F23" s="54" t="s">
        <v>195</v>
      </c>
      <c r="G23" s="54" t="s">
        <v>196</v>
      </c>
      <c r="H23" s="54" t="s">
        <v>197</v>
      </c>
      <c r="I23" s="54" t="s">
        <v>198</v>
      </c>
      <c r="J23" s="54" t="s">
        <v>199</v>
      </c>
      <c r="K23" s="54" t="s">
        <v>200</v>
      </c>
      <c r="L23" s="54" t="s">
        <v>117</v>
      </c>
      <c r="M23" s="3"/>
    </row>
    <row r="24" spans="1:13" hidden="1">
      <c r="A24" s="54">
        <v>23</v>
      </c>
      <c r="B24" s="54" t="s">
        <v>20</v>
      </c>
      <c r="C24" s="54" t="s">
        <v>201</v>
      </c>
      <c r="D24" s="54" t="s">
        <v>202</v>
      </c>
      <c r="E24" s="54" t="s">
        <v>203</v>
      </c>
      <c r="F24" s="54" t="s">
        <v>195</v>
      </c>
      <c r="G24" s="54" t="s">
        <v>196</v>
      </c>
      <c r="H24" s="54" t="s">
        <v>204</v>
      </c>
      <c r="I24" s="54" t="s">
        <v>198</v>
      </c>
      <c r="J24" s="54" t="s">
        <v>199</v>
      </c>
      <c r="K24" s="54" t="s">
        <v>200</v>
      </c>
      <c r="L24" s="54" t="s">
        <v>162</v>
      </c>
      <c r="M24" s="3"/>
    </row>
    <row r="25" spans="1:13" hidden="1">
      <c r="A25" s="54">
        <v>24</v>
      </c>
      <c r="B25" s="54" t="s">
        <v>20</v>
      </c>
      <c r="C25" s="54" t="s">
        <v>205</v>
      </c>
      <c r="D25" s="54" t="s">
        <v>206</v>
      </c>
      <c r="E25" s="54" t="s">
        <v>159</v>
      </c>
      <c r="F25" s="54" t="s">
        <v>195</v>
      </c>
      <c r="G25" s="54" t="s">
        <v>207</v>
      </c>
      <c r="H25" s="54" t="s">
        <v>208</v>
      </c>
      <c r="I25" s="54" t="s">
        <v>186</v>
      </c>
      <c r="J25" s="54" t="s">
        <v>187</v>
      </c>
      <c r="K25" s="54"/>
      <c r="L25" s="54" t="s">
        <v>188</v>
      </c>
      <c r="M25" s="3"/>
    </row>
    <row r="26" spans="1:13" hidden="1">
      <c r="A26" s="54">
        <v>25</v>
      </c>
      <c r="B26" s="54" t="s">
        <v>20</v>
      </c>
      <c r="C26" s="54" t="s">
        <v>209</v>
      </c>
      <c r="D26" s="54" t="s">
        <v>210</v>
      </c>
      <c r="E26" s="54" t="s">
        <v>194</v>
      </c>
      <c r="F26" s="54" t="s">
        <v>195</v>
      </c>
      <c r="G26" s="54" t="s">
        <v>211</v>
      </c>
      <c r="H26" s="54" t="s">
        <v>212</v>
      </c>
      <c r="I26" s="54" t="s">
        <v>135</v>
      </c>
      <c r="J26" s="54" t="s">
        <v>136</v>
      </c>
      <c r="K26" s="54" t="s">
        <v>150</v>
      </c>
      <c r="L26" s="54" t="s">
        <v>117</v>
      </c>
      <c r="M26" s="3"/>
    </row>
    <row r="27" spans="1:13" hidden="1">
      <c r="A27" s="54">
        <v>26</v>
      </c>
      <c r="B27" s="54" t="s">
        <v>20</v>
      </c>
      <c r="C27" s="54" t="s">
        <v>213</v>
      </c>
      <c r="D27" s="54" t="s">
        <v>214</v>
      </c>
      <c r="E27" s="54" t="s">
        <v>159</v>
      </c>
      <c r="F27" s="54" t="s">
        <v>195</v>
      </c>
      <c r="G27" s="54" t="s">
        <v>215</v>
      </c>
      <c r="H27" s="54" t="s">
        <v>216</v>
      </c>
      <c r="I27" s="54" t="s">
        <v>217</v>
      </c>
      <c r="J27" s="54" t="s">
        <v>218</v>
      </c>
      <c r="K27" s="54" t="s">
        <v>219</v>
      </c>
      <c r="L27" s="54" t="s">
        <v>162</v>
      </c>
      <c r="M27" s="3"/>
    </row>
    <row r="28" spans="1:13" hidden="1">
      <c r="A28" s="54">
        <v>27</v>
      </c>
      <c r="B28" s="54" t="s">
        <v>20</v>
      </c>
      <c r="C28" s="54" t="s">
        <v>220</v>
      </c>
      <c r="D28" s="54" t="s">
        <v>221</v>
      </c>
      <c r="E28" s="54" t="s">
        <v>203</v>
      </c>
      <c r="F28" s="54" t="s">
        <v>195</v>
      </c>
      <c r="G28" s="54" t="s">
        <v>222</v>
      </c>
      <c r="H28" s="54" t="s">
        <v>223</v>
      </c>
      <c r="I28" s="54" t="s">
        <v>198</v>
      </c>
      <c r="J28" s="54" t="s">
        <v>135</v>
      </c>
      <c r="K28" s="54" t="s">
        <v>136</v>
      </c>
      <c r="L28" s="54" t="s">
        <v>162</v>
      </c>
      <c r="M28" s="3"/>
    </row>
    <row r="29" spans="1:13" hidden="1">
      <c r="A29" s="54">
        <v>28</v>
      </c>
      <c r="B29" s="54" t="s">
        <v>25</v>
      </c>
      <c r="C29" s="54" t="s">
        <v>224</v>
      </c>
      <c r="D29" s="54" t="s">
        <v>225</v>
      </c>
      <c r="E29" s="54" t="s">
        <v>226</v>
      </c>
      <c r="F29" s="54" t="s">
        <v>43</v>
      </c>
      <c r="G29" s="54" t="s">
        <v>227</v>
      </c>
      <c r="H29" s="54" t="s">
        <v>228</v>
      </c>
      <c r="I29" s="54" t="s">
        <v>186</v>
      </c>
      <c r="J29" s="54" t="s">
        <v>187</v>
      </c>
      <c r="K29" s="54"/>
      <c r="L29" s="54" t="s">
        <v>188</v>
      </c>
      <c r="M29" s="3"/>
    </row>
    <row r="30" spans="1:13" hidden="1">
      <c r="A30" s="54">
        <v>29</v>
      </c>
      <c r="B30" s="54" t="s">
        <v>25</v>
      </c>
      <c r="C30" s="54" t="s">
        <v>229</v>
      </c>
      <c r="D30" s="54" t="s">
        <v>230</v>
      </c>
      <c r="E30" s="54" t="s">
        <v>231</v>
      </c>
      <c r="F30" s="54" t="s">
        <v>43</v>
      </c>
      <c r="G30" s="54" t="s">
        <v>232</v>
      </c>
      <c r="H30" s="54" t="s">
        <v>233</v>
      </c>
      <c r="I30" s="54" t="s">
        <v>108</v>
      </c>
      <c r="J30" s="54" t="s">
        <v>130</v>
      </c>
      <c r="K30" s="54" t="s">
        <v>110</v>
      </c>
      <c r="L30" s="54" t="s">
        <v>162</v>
      </c>
      <c r="M30" s="3"/>
    </row>
    <row r="31" spans="1:13" hidden="1">
      <c r="A31" s="54">
        <v>30</v>
      </c>
      <c r="B31" s="54" t="s">
        <v>25</v>
      </c>
      <c r="C31" s="54" t="s">
        <v>234</v>
      </c>
      <c r="D31" s="54" t="s">
        <v>235</v>
      </c>
      <c r="E31" s="54" t="s">
        <v>226</v>
      </c>
      <c r="F31" s="54" t="s">
        <v>43</v>
      </c>
      <c r="G31" s="54" t="s">
        <v>236</v>
      </c>
      <c r="H31" s="54" t="s">
        <v>237</v>
      </c>
      <c r="I31" s="54" t="s">
        <v>108</v>
      </c>
      <c r="J31" s="54" t="s">
        <v>135</v>
      </c>
      <c r="K31" s="54" t="s">
        <v>136</v>
      </c>
      <c r="L31" s="54" t="s">
        <v>162</v>
      </c>
      <c r="M31" s="3"/>
    </row>
    <row r="32" spans="1:13" hidden="1">
      <c r="A32" s="54">
        <v>31</v>
      </c>
      <c r="B32" s="54" t="s">
        <v>25</v>
      </c>
      <c r="C32" s="54" t="s">
        <v>238</v>
      </c>
      <c r="D32" s="54" t="s">
        <v>239</v>
      </c>
      <c r="E32" s="54" t="s">
        <v>226</v>
      </c>
      <c r="F32" s="54" t="s">
        <v>43</v>
      </c>
      <c r="G32" s="54" t="s">
        <v>240</v>
      </c>
      <c r="H32" s="54" t="s">
        <v>241</v>
      </c>
      <c r="I32" s="54" t="s">
        <v>135</v>
      </c>
      <c r="J32" s="54" t="s">
        <v>136</v>
      </c>
      <c r="K32" s="54" t="s">
        <v>150</v>
      </c>
      <c r="L32" s="54" t="s">
        <v>162</v>
      </c>
      <c r="M32" s="3"/>
    </row>
    <row r="33" spans="1:13" hidden="1">
      <c r="A33" s="54">
        <v>32</v>
      </c>
      <c r="B33" s="54" t="s">
        <v>25</v>
      </c>
      <c r="C33" s="54" t="s">
        <v>242</v>
      </c>
      <c r="D33" s="54" t="s">
        <v>243</v>
      </c>
      <c r="E33" s="54" t="s">
        <v>226</v>
      </c>
      <c r="F33" s="54" t="s">
        <v>43</v>
      </c>
      <c r="G33" s="54" t="s">
        <v>244</v>
      </c>
      <c r="H33" s="54" t="s">
        <v>107</v>
      </c>
      <c r="I33" s="54" t="s">
        <v>198</v>
      </c>
      <c r="J33" s="54" t="s">
        <v>135</v>
      </c>
      <c r="K33" s="54" t="s">
        <v>136</v>
      </c>
      <c r="L33" s="54" t="s">
        <v>162</v>
      </c>
      <c r="M33" s="3"/>
    </row>
    <row r="34" spans="1:13" hidden="1">
      <c r="A34" s="54">
        <v>33</v>
      </c>
      <c r="B34" s="54" t="s">
        <v>25</v>
      </c>
      <c r="C34" s="54" t="s">
        <v>245</v>
      </c>
      <c r="D34" s="54" t="s">
        <v>246</v>
      </c>
      <c r="E34" s="54" t="s">
        <v>247</v>
      </c>
      <c r="F34" s="54" t="s">
        <v>43</v>
      </c>
      <c r="G34" s="54" t="s">
        <v>248</v>
      </c>
      <c r="H34" s="54" t="s">
        <v>249</v>
      </c>
      <c r="I34" s="54" t="s">
        <v>110</v>
      </c>
      <c r="J34" s="54" t="s">
        <v>250</v>
      </c>
      <c r="K34" s="54" t="s">
        <v>251</v>
      </c>
      <c r="L34" s="54" t="s">
        <v>162</v>
      </c>
      <c r="M34" s="3"/>
    </row>
    <row r="35" spans="1:13" hidden="1">
      <c r="A35" s="54">
        <v>34</v>
      </c>
      <c r="B35" s="54" t="s">
        <v>25</v>
      </c>
      <c r="C35" s="54" t="s">
        <v>252</v>
      </c>
      <c r="D35" s="54" t="s">
        <v>253</v>
      </c>
      <c r="E35" s="54" t="s">
        <v>226</v>
      </c>
      <c r="F35" s="54" t="s">
        <v>43</v>
      </c>
      <c r="G35" s="54" t="s">
        <v>254</v>
      </c>
      <c r="H35" s="54" t="s">
        <v>228</v>
      </c>
      <c r="I35" s="54" t="s">
        <v>108</v>
      </c>
      <c r="J35" s="54" t="s">
        <v>130</v>
      </c>
      <c r="K35" s="54" t="s">
        <v>110</v>
      </c>
      <c r="L35" s="54" t="s">
        <v>162</v>
      </c>
      <c r="M35" s="3"/>
    </row>
    <row r="36" spans="1:13" hidden="1">
      <c r="A36" s="54">
        <v>35</v>
      </c>
      <c r="B36" s="54" t="s">
        <v>25</v>
      </c>
      <c r="C36" s="54" t="s">
        <v>255</v>
      </c>
      <c r="D36" s="54" t="s">
        <v>256</v>
      </c>
      <c r="E36" s="54" t="s">
        <v>226</v>
      </c>
      <c r="F36" s="54" t="s">
        <v>43</v>
      </c>
      <c r="G36" s="54" t="s">
        <v>257</v>
      </c>
      <c r="H36" s="54" t="s">
        <v>258</v>
      </c>
      <c r="I36" s="54" t="s">
        <v>108</v>
      </c>
      <c r="J36" s="54" t="s">
        <v>135</v>
      </c>
      <c r="K36" s="54" t="s">
        <v>136</v>
      </c>
      <c r="L36" s="54" t="s">
        <v>162</v>
      </c>
      <c r="M36" s="3"/>
    </row>
    <row r="37" spans="1:13" hidden="1">
      <c r="A37" s="54">
        <v>36</v>
      </c>
      <c r="B37" s="54" t="s">
        <v>25</v>
      </c>
      <c r="C37" s="54" t="s">
        <v>259</v>
      </c>
      <c r="D37" s="54" t="s">
        <v>260</v>
      </c>
      <c r="E37" s="54" t="s">
        <v>159</v>
      </c>
      <c r="F37" s="54" t="s">
        <v>43</v>
      </c>
      <c r="G37" s="55"/>
      <c r="H37" s="55"/>
      <c r="I37" s="54"/>
      <c r="J37" s="54"/>
      <c r="K37" s="54"/>
      <c r="L37" s="54" t="s">
        <v>122</v>
      </c>
      <c r="M37" s="3"/>
    </row>
    <row r="38" spans="1:13" hidden="1">
      <c r="A38" s="54">
        <v>37</v>
      </c>
      <c r="B38" s="54" t="s">
        <v>25</v>
      </c>
      <c r="C38" s="54" t="s">
        <v>261</v>
      </c>
      <c r="D38" s="54" t="s">
        <v>262</v>
      </c>
      <c r="E38" s="54" t="s">
        <v>226</v>
      </c>
      <c r="F38" s="54" t="s">
        <v>43</v>
      </c>
      <c r="G38" s="54" t="s">
        <v>263</v>
      </c>
      <c r="H38" s="54" t="s">
        <v>264</v>
      </c>
      <c r="I38" s="54" t="s">
        <v>108</v>
      </c>
      <c r="J38" s="54" t="s">
        <v>109</v>
      </c>
      <c r="K38" s="54" t="s">
        <v>110</v>
      </c>
      <c r="L38" s="54" t="s">
        <v>162</v>
      </c>
      <c r="M38" s="3"/>
    </row>
    <row r="39" spans="1:13" hidden="1">
      <c r="A39" s="54">
        <v>38</v>
      </c>
      <c r="B39" s="54" t="s">
        <v>25</v>
      </c>
      <c r="C39" s="54" t="s">
        <v>265</v>
      </c>
      <c r="D39" s="54" t="s">
        <v>266</v>
      </c>
      <c r="E39" s="54" t="s">
        <v>226</v>
      </c>
      <c r="F39" s="54" t="s">
        <v>43</v>
      </c>
      <c r="G39" s="54" t="s">
        <v>267</v>
      </c>
      <c r="H39" s="54" t="s">
        <v>268</v>
      </c>
      <c r="I39" s="54" t="s">
        <v>135</v>
      </c>
      <c r="J39" s="54" t="s">
        <v>136</v>
      </c>
      <c r="K39" s="54" t="s">
        <v>150</v>
      </c>
      <c r="L39" s="54" t="s">
        <v>162</v>
      </c>
      <c r="M39" s="3"/>
    </row>
    <row r="40" spans="1:13" hidden="1">
      <c r="A40" s="54">
        <v>39</v>
      </c>
      <c r="B40" s="54" t="s">
        <v>25</v>
      </c>
      <c r="C40" s="54" t="s">
        <v>269</v>
      </c>
      <c r="D40" s="54" t="s">
        <v>270</v>
      </c>
      <c r="E40" s="54" t="s">
        <v>271</v>
      </c>
      <c r="F40" s="54" t="s">
        <v>43</v>
      </c>
      <c r="G40" s="54" t="s">
        <v>272</v>
      </c>
      <c r="H40" s="54" t="s">
        <v>273</v>
      </c>
      <c r="I40" s="54" t="s">
        <v>198</v>
      </c>
      <c r="J40" s="54" t="s">
        <v>135</v>
      </c>
      <c r="K40" s="54" t="s">
        <v>136</v>
      </c>
      <c r="L40" s="54" t="s">
        <v>162</v>
      </c>
      <c r="M40" s="3"/>
    </row>
    <row r="41" spans="1:13" hidden="1">
      <c r="A41" s="54">
        <v>40</v>
      </c>
      <c r="B41" s="54" t="s">
        <v>25</v>
      </c>
      <c r="C41" s="54" t="s">
        <v>274</v>
      </c>
      <c r="D41" s="54" t="s">
        <v>275</v>
      </c>
      <c r="E41" s="54" t="s">
        <v>276</v>
      </c>
      <c r="F41" s="54" t="s">
        <v>43</v>
      </c>
      <c r="G41" s="54" t="s">
        <v>277</v>
      </c>
      <c r="H41" s="54" t="s">
        <v>228</v>
      </c>
      <c r="I41" s="54" t="s">
        <v>108</v>
      </c>
      <c r="J41" s="54" t="s">
        <v>130</v>
      </c>
      <c r="K41" s="54" t="s">
        <v>110</v>
      </c>
      <c r="L41" s="54" t="s">
        <v>162</v>
      </c>
      <c r="M41" s="3"/>
    </row>
    <row r="42" spans="1:13" hidden="1">
      <c r="A42" s="54">
        <v>41</v>
      </c>
      <c r="B42" s="54" t="s">
        <v>25</v>
      </c>
      <c r="C42" s="54" t="s">
        <v>278</v>
      </c>
      <c r="D42" s="54" t="s">
        <v>279</v>
      </c>
      <c r="E42" s="54" t="s">
        <v>226</v>
      </c>
      <c r="F42" s="54" t="s">
        <v>43</v>
      </c>
      <c r="G42" s="54" t="s">
        <v>280</v>
      </c>
      <c r="H42" s="54" t="s">
        <v>273</v>
      </c>
      <c r="I42" s="54" t="s">
        <v>198</v>
      </c>
      <c r="J42" s="54" t="s">
        <v>135</v>
      </c>
      <c r="K42" s="54" t="s">
        <v>136</v>
      </c>
      <c r="L42" s="54" t="s">
        <v>117</v>
      </c>
      <c r="M42" s="3"/>
    </row>
    <row r="43" spans="1:13" hidden="1">
      <c r="A43" s="54">
        <v>42</v>
      </c>
      <c r="B43" s="54" t="s">
        <v>25</v>
      </c>
      <c r="C43" s="54" t="s">
        <v>281</v>
      </c>
      <c r="D43" s="54" t="s">
        <v>282</v>
      </c>
      <c r="E43" s="54" t="s">
        <v>226</v>
      </c>
      <c r="F43" s="54" t="s">
        <v>43</v>
      </c>
      <c r="G43" s="54" t="s">
        <v>283</v>
      </c>
      <c r="H43" s="54" t="s">
        <v>284</v>
      </c>
      <c r="I43" s="54" t="s">
        <v>108</v>
      </c>
      <c r="J43" s="54" t="s">
        <v>135</v>
      </c>
      <c r="K43" s="54" t="s">
        <v>136</v>
      </c>
      <c r="L43" s="54" t="s">
        <v>162</v>
      </c>
      <c r="M43" s="3"/>
    </row>
    <row r="44" spans="1:13" hidden="1">
      <c r="A44" s="54">
        <v>43</v>
      </c>
      <c r="B44" s="54" t="s">
        <v>21</v>
      </c>
      <c r="C44" s="54" t="s">
        <v>285</v>
      </c>
      <c r="D44" s="54" t="s">
        <v>286</v>
      </c>
      <c r="E44" s="54" t="s">
        <v>287</v>
      </c>
      <c r="F44" s="54" t="s">
        <v>44</v>
      </c>
      <c r="G44" s="54" t="s">
        <v>288</v>
      </c>
      <c r="H44" s="54" t="s">
        <v>289</v>
      </c>
      <c r="I44" s="54" t="s">
        <v>108</v>
      </c>
      <c r="J44" s="54" t="s">
        <v>135</v>
      </c>
      <c r="K44" s="54" t="s">
        <v>136</v>
      </c>
      <c r="L44" s="54" t="s">
        <v>117</v>
      </c>
      <c r="M44" s="3"/>
    </row>
    <row r="45" spans="1:13" hidden="1">
      <c r="A45" s="54">
        <v>44</v>
      </c>
      <c r="B45" s="54" t="s">
        <v>33</v>
      </c>
      <c r="C45" s="54" t="s">
        <v>290</v>
      </c>
      <c r="D45" s="54" t="s">
        <v>291</v>
      </c>
      <c r="E45" s="54" t="s">
        <v>102</v>
      </c>
      <c r="F45" s="54" t="s">
        <v>45</v>
      </c>
      <c r="G45" s="54" t="s">
        <v>211</v>
      </c>
      <c r="H45" s="54" t="s">
        <v>292</v>
      </c>
      <c r="I45" s="54" t="s">
        <v>198</v>
      </c>
      <c r="J45" s="54" t="s">
        <v>135</v>
      </c>
      <c r="K45" s="54" t="s">
        <v>136</v>
      </c>
      <c r="L45" s="54" t="s">
        <v>293</v>
      </c>
      <c r="M45" s="3"/>
    </row>
    <row r="46" spans="1:13" hidden="1">
      <c r="A46" s="54">
        <v>45</v>
      </c>
      <c r="B46" s="54" t="s">
        <v>33</v>
      </c>
      <c r="C46" s="54" t="s">
        <v>294</v>
      </c>
      <c r="D46" s="54" t="s">
        <v>295</v>
      </c>
      <c r="E46" s="54" t="s">
        <v>143</v>
      </c>
      <c r="F46" s="54" t="s">
        <v>45</v>
      </c>
      <c r="G46" s="54" t="s">
        <v>296</v>
      </c>
      <c r="H46" s="54" t="s">
        <v>297</v>
      </c>
      <c r="I46" s="54" t="s">
        <v>135</v>
      </c>
      <c r="J46" s="54" t="s">
        <v>136</v>
      </c>
      <c r="K46" s="54" t="s">
        <v>150</v>
      </c>
      <c r="L46" s="54" t="s">
        <v>298</v>
      </c>
      <c r="M46" s="3"/>
    </row>
    <row r="47" spans="1:13" hidden="1">
      <c r="A47" s="54">
        <v>46</v>
      </c>
      <c r="B47" s="54" t="s">
        <v>33</v>
      </c>
      <c r="C47" s="54" t="s">
        <v>299</v>
      </c>
      <c r="D47" s="54" t="s">
        <v>300</v>
      </c>
      <c r="E47" s="54" t="s">
        <v>301</v>
      </c>
      <c r="F47" s="54" t="s">
        <v>45</v>
      </c>
      <c r="G47" s="54" t="s">
        <v>302</v>
      </c>
      <c r="H47" s="54" t="s">
        <v>303</v>
      </c>
      <c r="I47" s="54"/>
      <c r="J47" s="54"/>
      <c r="K47" s="54"/>
      <c r="L47" s="54" t="s">
        <v>304</v>
      </c>
      <c r="M47" s="3"/>
    </row>
    <row r="48" spans="1:13" hidden="1">
      <c r="A48" s="54">
        <v>47</v>
      </c>
      <c r="B48" s="54" t="s">
        <v>33</v>
      </c>
      <c r="C48" s="54" t="s">
        <v>305</v>
      </c>
      <c r="D48" s="54" t="s">
        <v>306</v>
      </c>
      <c r="E48" s="54" t="s">
        <v>143</v>
      </c>
      <c r="F48" s="54" t="s">
        <v>45</v>
      </c>
      <c r="G48" s="54" t="s">
        <v>211</v>
      </c>
      <c r="H48" s="54" t="s">
        <v>307</v>
      </c>
      <c r="I48" s="54" t="s">
        <v>198</v>
      </c>
      <c r="J48" s="54" t="s">
        <v>135</v>
      </c>
      <c r="K48" s="54" t="s">
        <v>136</v>
      </c>
      <c r="L48" s="54" t="s">
        <v>293</v>
      </c>
      <c r="M48" s="3"/>
    </row>
    <row r="49" spans="1:13" hidden="1">
      <c r="A49" s="54">
        <v>48</v>
      </c>
      <c r="B49" s="54" t="s">
        <v>33</v>
      </c>
      <c r="C49" s="54" t="s">
        <v>308</v>
      </c>
      <c r="D49" s="54" t="s">
        <v>309</v>
      </c>
      <c r="E49" s="54" t="s">
        <v>143</v>
      </c>
      <c r="F49" s="54" t="s">
        <v>45</v>
      </c>
      <c r="G49" s="54" t="s">
        <v>310</v>
      </c>
      <c r="H49" s="54" t="s">
        <v>204</v>
      </c>
      <c r="I49" s="54" t="s">
        <v>108</v>
      </c>
      <c r="J49" s="54" t="s">
        <v>135</v>
      </c>
      <c r="K49" s="54" t="s">
        <v>136</v>
      </c>
      <c r="L49" s="54" t="s">
        <v>298</v>
      </c>
      <c r="M49" s="3"/>
    </row>
    <row r="50" spans="1:13" hidden="1">
      <c r="A50" s="54">
        <v>49</v>
      </c>
      <c r="B50" s="54" t="s">
        <v>33</v>
      </c>
      <c r="C50" s="54" t="s">
        <v>311</v>
      </c>
      <c r="D50" s="54" t="s">
        <v>312</v>
      </c>
      <c r="E50" s="54" t="s">
        <v>143</v>
      </c>
      <c r="F50" s="54" t="s">
        <v>45</v>
      </c>
      <c r="G50" s="54" t="s">
        <v>313</v>
      </c>
      <c r="H50" s="54" t="s">
        <v>314</v>
      </c>
      <c r="I50" s="54" t="s">
        <v>199</v>
      </c>
      <c r="J50" s="54" t="s">
        <v>200</v>
      </c>
      <c r="K50" s="54" t="s">
        <v>315</v>
      </c>
      <c r="L50" s="54" t="s">
        <v>293</v>
      </c>
      <c r="M50" s="3"/>
    </row>
    <row r="51" spans="1:13" hidden="1">
      <c r="A51" s="54">
        <v>50</v>
      </c>
      <c r="B51" s="54" t="s">
        <v>33</v>
      </c>
      <c r="C51" s="54" t="s">
        <v>316</v>
      </c>
      <c r="D51" s="54" t="s">
        <v>317</v>
      </c>
      <c r="E51" s="54" t="s">
        <v>143</v>
      </c>
      <c r="F51" s="54" t="s">
        <v>45</v>
      </c>
      <c r="G51" s="54" t="s">
        <v>318</v>
      </c>
      <c r="H51" s="54" t="s">
        <v>212</v>
      </c>
      <c r="I51" s="54" t="s">
        <v>135</v>
      </c>
      <c r="J51" s="54" t="s">
        <v>136</v>
      </c>
      <c r="K51" s="54" t="s">
        <v>150</v>
      </c>
      <c r="L51" s="54" t="s">
        <v>298</v>
      </c>
      <c r="M51" s="3"/>
    </row>
    <row r="52" spans="1:13" hidden="1">
      <c r="A52" s="54">
        <v>51</v>
      </c>
      <c r="B52" s="54" t="s">
        <v>29</v>
      </c>
      <c r="C52" s="54" t="s">
        <v>319</v>
      </c>
      <c r="D52" s="54" t="s">
        <v>320</v>
      </c>
      <c r="E52" s="54" t="s">
        <v>159</v>
      </c>
      <c r="F52" s="54" t="s">
        <v>46</v>
      </c>
      <c r="G52" s="55"/>
      <c r="H52" s="55"/>
      <c r="I52" s="55"/>
      <c r="J52" s="55"/>
      <c r="K52" s="54"/>
      <c r="L52" s="54" t="s">
        <v>321</v>
      </c>
      <c r="M52" s="3"/>
    </row>
    <row r="53" spans="1:13" hidden="1">
      <c r="A53" s="54">
        <v>52</v>
      </c>
      <c r="B53" s="54" t="s">
        <v>29</v>
      </c>
      <c r="C53" s="54" t="s">
        <v>322</v>
      </c>
      <c r="D53" s="54" t="s">
        <v>323</v>
      </c>
      <c r="E53" s="54" t="s">
        <v>159</v>
      </c>
      <c r="F53" s="54" t="s">
        <v>46</v>
      </c>
      <c r="G53" s="54" t="s">
        <v>222</v>
      </c>
      <c r="H53" s="54" t="s">
        <v>324</v>
      </c>
      <c r="I53" s="54" t="s">
        <v>198</v>
      </c>
      <c r="J53" s="54" t="s">
        <v>108</v>
      </c>
      <c r="K53" s="54" t="s">
        <v>135</v>
      </c>
      <c r="L53" s="54" t="s">
        <v>293</v>
      </c>
      <c r="M53" s="3"/>
    </row>
    <row r="54" spans="1:13" hidden="1">
      <c r="A54" s="54">
        <v>53</v>
      </c>
      <c r="B54" s="54" t="s">
        <v>29</v>
      </c>
      <c r="C54" s="54" t="s">
        <v>325</v>
      </c>
      <c r="D54" s="54" t="s">
        <v>326</v>
      </c>
      <c r="E54" s="54" t="s">
        <v>159</v>
      </c>
      <c r="F54" s="54" t="s">
        <v>46</v>
      </c>
      <c r="G54" s="55"/>
      <c r="H54" s="55"/>
      <c r="I54" s="55"/>
      <c r="J54" s="55"/>
      <c r="K54" s="54"/>
      <c r="L54" s="54" t="s">
        <v>304</v>
      </c>
      <c r="M54" s="3"/>
    </row>
    <row r="55" spans="1:13" hidden="1">
      <c r="A55" s="54">
        <v>54</v>
      </c>
      <c r="B55" s="54" t="s">
        <v>29</v>
      </c>
      <c r="C55" s="54" t="s">
        <v>327</v>
      </c>
      <c r="D55" s="54" t="s">
        <v>328</v>
      </c>
      <c r="E55" s="54" t="s">
        <v>159</v>
      </c>
      <c r="F55" s="54" t="s">
        <v>46</v>
      </c>
      <c r="G55" s="54" t="s">
        <v>211</v>
      </c>
      <c r="H55" s="54" t="s">
        <v>329</v>
      </c>
      <c r="I55" s="54"/>
      <c r="J55" s="54"/>
      <c r="K55" s="54"/>
      <c r="L55" s="54" t="s">
        <v>321</v>
      </c>
      <c r="M55" s="3"/>
    </row>
    <row r="56" spans="1:13" hidden="1">
      <c r="A56" s="54">
        <v>55</v>
      </c>
      <c r="B56" s="54" t="s">
        <v>29</v>
      </c>
      <c r="C56" s="54" t="s">
        <v>330</v>
      </c>
      <c r="D56" s="54" t="s">
        <v>331</v>
      </c>
      <c r="E56" s="54" t="s">
        <v>332</v>
      </c>
      <c r="F56" s="54" t="s">
        <v>46</v>
      </c>
      <c r="G56" s="54" t="s">
        <v>211</v>
      </c>
      <c r="H56" s="54" t="s">
        <v>333</v>
      </c>
      <c r="I56" s="54" t="s">
        <v>198</v>
      </c>
      <c r="J56" s="54" t="s">
        <v>135</v>
      </c>
      <c r="K56" s="54" t="s">
        <v>136</v>
      </c>
      <c r="L56" s="54" t="s">
        <v>298</v>
      </c>
      <c r="M56" s="3"/>
    </row>
    <row r="57" spans="1:13" hidden="1">
      <c r="A57" s="54">
        <v>56</v>
      </c>
      <c r="B57" s="54" t="s">
        <v>29</v>
      </c>
      <c r="C57" s="54" t="s">
        <v>334</v>
      </c>
      <c r="D57" s="54" t="s">
        <v>335</v>
      </c>
      <c r="E57" s="54" t="s">
        <v>159</v>
      </c>
      <c r="F57" s="54" t="s">
        <v>46</v>
      </c>
      <c r="G57" s="54" t="s">
        <v>336</v>
      </c>
      <c r="H57" s="54" t="s">
        <v>337</v>
      </c>
      <c r="I57" s="54" t="s">
        <v>198</v>
      </c>
      <c r="J57" s="54" t="s">
        <v>108</v>
      </c>
      <c r="K57" s="54" t="s">
        <v>135</v>
      </c>
      <c r="L57" s="54" t="s">
        <v>162</v>
      </c>
      <c r="M57" s="3"/>
    </row>
    <row r="58" spans="1:13" hidden="1">
      <c r="A58" s="54">
        <v>57</v>
      </c>
      <c r="B58" s="54" t="s">
        <v>29</v>
      </c>
      <c r="C58" s="54" t="s">
        <v>338</v>
      </c>
      <c r="D58" s="54" t="s">
        <v>339</v>
      </c>
      <c r="E58" s="54" t="s">
        <v>159</v>
      </c>
      <c r="F58" s="54" t="s">
        <v>46</v>
      </c>
      <c r="G58" s="54" t="s">
        <v>340</v>
      </c>
      <c r="H58" s="54" t="s">
        <v>341</v>
      </c>
      <c r="I58" s="54" t="s">
        <v>116</v>
      </c>
      <c r="J58" s="54" t="s">
        <v>199</v>
      </c>
      <c r="K58" s="54" t="s">
        <v>110</v>
      </c>
      <c r="L58" s="54" t="s">
        <v>162</v>
      </c>
      <c r="M58" s="3"/>
    </row>
    <row r="59" spans="1:13" hidden="1">
      <c r="A59" s="54">
        <v>58</v>
      </c>
      <c r="B59" s="54" t="s">
        <v>29</v>
      </c>
      <c r="C59" s="54" t="s">
        <v>342</v>
      </c>
      <c r="D59" s="54" t="s">
        <v>343</v>
      </c>
      <c r="E59" s="54" t="s">
        <v>332</v>
      </c>
      <c r="F59" s="54" t="s">
        <v>46</v>
      </c>
      <c r="G59" s="54" t="s">
        <v>344</v>
      </c>
      <c r="H59" s="54" t="s">
        <v>307</v>
      </c>
      <c r="I59" s="54" t="s">
        <v>108</v>
      </c>
      <c r="J59" s="54" t="s">
        <v>135</v>
      </c>
      <c r="K59" s="54" t="s">
        <v>136</v>
      </c>
      <c r="L59" s="54" t="s">
        <v>298</v>
      </c>
      <c r="M59" s="3"/>
    </row>
    <row r="60" spans="1:13" hidden="1">
      <c r="A60" s="54">
        <v>59</v>
      </c>
      <c r="B60" s="54" t="s">
        <v>29</v>
      </c>
      <c r="C60" s="54" t="s">
        <v>345</v>
      </c>
      <c r="D60" s="54" t="s">
        <v>346</v>
      </c>
      <c r="E60" s="54" t="s">
        <v>159</v>
      </c>
      <c r="F60" s="54" t="s">
        <v>46</v>
      </c>
      <c r="G60" s="54" t="s">
        <v>347</v>
      </c>
      <c r="H60" s="54" t="s">
        <v>307</v>
      </c>
      <c r="I60" s="54" t="s">
        <v>116</v>
      </c>
      <c r="J60" s="54" t="s">
        <v>199</v>
      </c>
      <c r="K60" s="54" t="s">
        <v>110</v>
      </c>
      <c r="L60" s="54" t="s">
        <v>298</v>
      </c>
      <c r="M60" s="3"/>
    </row>
    <row r="61" spans="1:13" hidden="1">
      <c r="A61" s="54">
        <v>60</v>
      </c>
      <c r="B61" s="54" t="s">
        <v>28</v>
      </c>
      <c r="C61" s="54" t="s">
        <v>348</v>
      </c>
      <c r="D61" s="54" t="s">
        <v>349</v>
      </c>
      <c r="E61" s="54" t="s">
        <v>143</v>
      </c>
      <c r="F61" s="56" t="s">
        <v>47</v>
      </c>
      <c r="G61" s="54" t="s">
        <v>350</v>
      </c>
      <c r="H61" s="54" t="s">
        <v>351</v>
      </c>
      <c r="I61" s="54"/>
      <c r="J61" s="54"/>
      <c r="K61" s="54"/>
      <c r="L61" s="54" t="s">
        <v>122</v>
      </c>
      <c r="M61" s="3"/>
    </row>
    <row r="62" spans="1:13" hidden="1">
      <c r="A62" s="54">
        <v>61</v>
      </c>
      <c r="B62" s="54" t="s">
        <v>28</v>
      </c>
      <c r="C62" s="54" t="s">
        <v>352</v>
      </c>
      <c r="D62" s="54" t="s">
        <v>353</v>
      </c>
      <c r="E62" s="54" t="s">
        <v>143</v>
      </c>
      <c r="F62" s="56" t="s">
        <v>47</v>
      </c>
      <c r="G62" s="54" t="s">
        <v>354</v>
      </c>
      <c r="H62" s="54" t="s">
        <v>355</v>
      </c>
      <c r="I62" s="54" t="s">
        <v>198</v>
      </c>
      <c r="J62" s="54" t="s">
        <v>108</v>
      </c>
      <c r="K62" s="54" t="s">
        <v>135</v>
      </c>
      <c r="L62" s="54" t="s">
        <v>162</v>
      </c>
      <c r="M62" s="3"/>
    </row>
    <row r="63" spans="1:13" hidden="1">
      <c r="A63" s="54">
        <v>62</v>
      </c>
      <c r="B63" s="54" t="s">
        <v>28</v>
      </c>
      <c r="C63" s="54" t="s">
        <v>356</v>
      </c>
      <c r="D63" s="54" t="s">
        <v>357</v>
      </c>
      <c r="E63" s="54" t="s">
        <v>143</v>
      </c>
      <c r="F63" s="56" t="s">
        <v>47</v>
      </c>
      <c r="G63" s="54" t="s">
        <v>358</v>
      </c>
      <c r="H63" s="54" t="s">
        <v>359</v>
      </c>
      <c r="I63" s="54" t="s">
        <v>116</v>
      </c>
      <c r="J63" s="54" t="s">
        <v>199</v>
      </c>
      <c r="K63" s="54" t="s">
        <v>110</v>
      </c>
      <c r="L63" s="54" t="s">
        <v>111</v>
      </c>
      <c r="M63" s="3"/>
    </row>
    <row r="64" spans="1:13" hidden="1">
      <c r="A64" s="54">
        <v>63</v>
      </c>
      <c r="B64" s="54" t="s">
        <v>28</v>
      </c>
      <c r="C64" s="54" t="s">
        <v>360</v>
      </c>
      <c r="D64" s="54" t="s">
        <v>361</v>
      </c>
      <c r="E64" s="54" t="s">
        <v>143</v>
      </c>
      <c r="F64" s="56" t="s">
        <v>47</v>
      </c>
      <c r="G64" s="54" t="s">
        <v>362</v>
      </c>
      <c r="H64" s="54" t="s">
        <v>363</v>
      </c>
      <c r="I64" s="54" t="s">
        <v>199</v>
      </c>
      <c r="J64" s="54" t="s">
        <v>200</v>
      </c>
      <c r="K64" s="54" t="s">
        <v>315</v>
      </c>
      <c r="L64" s="54" t="s">
        <v>111</v>
      </c>
      <c r="M64" s="3"/>
    </row>
    <row r="65" spans="1:13" hidden="1">
      <c r="A65" s="54">
        <v>64</v>
      </c>
      <c r="B65" s="54" t="s">
        <v>28</v>
      </c>
      <c r="C65" s="54" t="s">
        <v>364</v>
      </c>
      <c r="D65" s="54" t="s">
        <v>365</v>
      </c>
      <c r="E65" s="54" t="s">
        <v>366</v>
      </c>
      <c r="F65" s="56" t="s">
        <v>47</v>
      </c>
      <c r="G65" s="54" t="s">
        <v>367</v>
      </c>
      <c r="H65" s="54" t="s">
        <v>368</v>
      </c>
      <c r="I65" s="54" t="s">
        <v>198</v>
      </c>
      <c r="J65" s="54" t="s">
        <v>108</v>
      </c>
      <c r="K65" s="54" t="s">
        <v>135</v>
      </c>
      <c r="L65" s="54" t="s">
        <v>162</v>
      </c>
      <c r="M65" s="3"/>
    </row>
    <row r="66" spans="1:13" hidden="1">
      <c r="A66" s="54">
        <v>65</v>
      </c>
      <c r="B66" s="54" t="s">
        <v>28</v>
      </c>
      <c r="C66" s="54" t="s">
        <v>369</v>
      </c>
      <c r="D66" s="54" t="s">
        <v>370</v>
      </c>
      <c r="E66" s="54" t="s">
        <v>143</v>
      </c>
      <c r="F66" s="56" t="s">
        <v>47</v>
      </c>
      <c r="G66" s="54" t="s">
        <v>358</v>
      </c>
      <c r="H66" s="54" t="s">
        <v>371</v>
      </c>
      <c r="I66" s="54" t="s">
        <v>116</v>
      </c>
      <c r="J66" s="54" t="s">
        <v>199</v>
      </c>
      <c r="K66" s="54" t="s">
        <v>110</v>
      </c>
      <c r="L66" s="54" t="s">
        <v>111</v>
      </c>
      <c r="M66" s="3"/>
    </row>
    <row r="67" spans="1:13" hidden="1">
      <c r="A67" s="54">
        <v>66</v>
      </c>
      <c r="B67" s="54" t="s">
        <v>28</v>
      </c>
      <c r="C67" s="54" t="s">
        <v>372</v>
      </c>
      <c r="D67" s="54" t="s">
        <v>373</v>
      </c>
      <c r="E67" s="54" t="s">
        <v>143</v>
      </c>
      <c r="F67" s="56" t="s">
        <v>47</v>
      </c>
      <c r="G67" s="54" t="s">
        <v>350</v>
      </c>
      <c r="H67" s="54" t="s">
        <v>374</v>
      </c>
      <c r="I67" s="54" t="s">
        <v>116</v>
      </c>
      <c r="J67" s="54" t="s">
        <v>199</v>
      </c>
      <c r="K67" s="54" t="s">
        <v>110</v>
      </c>
      <c r="L67" s="54" t="s">
        <v>111</v>
      </c>
      <c r="M67" s="3"/>
    </row>
    <row r="68" spans="1:13" hidden="1">
      <c r="A68" s="54">
        <v>67</v>
      </c>
      <c r="B68" s="54" t="s">
        <v>28</v>
      </c>
      <c r="C68" s="54" t="s">
        <v>375</v>
      </c>
      <c r="D68" s="54" t="s">
        <v>376</v>
      </c>
      <c r="E68" s="54" t="s">
        <v>143</v>
      </c>
      <c r="F68" s="56" t="s">
        <v>47</v>
      </c>
      <c r="G68" s="54" t="s">
        <v>377</v>
      </c>
      <c r="H68" s="54" t="s">
        <v>374</v>
      </c>
      <c r="I68" s="54" t="s">
        <v>116</v>
      </c>
      <c r="J68" s="54" t="s">
        <v>199</v>
      </c>
      <c r="K68" s="54" t="s">
        <v>110</v>
      </c>
      <c r="L68" s="54" t="s">
        <v>111</v>
      </c>
      <c r="M68" s="3"/>
    </row>
    <row r="69" spans="1:13" hidden="1">
      <c r="A69" s="54">
        <v>68</v>
      </c>
      <c r="B69" s="54" t="s">
        <v>28</v>
      </c>
      <c r="C69" s="54" t="s">
        <v>378</v>
      </c>
      <c r="D69" s="54" t="s">
        <v>379</v>
      </c>
      <c r="E69" s="54" t="s">
        <v>366</v>
      </c>
      <c r="F69" s="56" t="s">
        <v>47</v>
      </c>
      <c r="G69" s="54" t="s">
        <v>377</v>
      </c>
      <c r="H69" s="54" t="s">
        <v>371</v>
      </c>
      <c r="I69" s="54" t="s">
        <v>116</v>
      </c>
      <c r="J69" s="54" t="s">
        <v>199</v>
      </c>
      <c r="K69" s="54" t="s">
        <v>110</v>
      </c>
      <c r="L69" s="54" t="s">
        <v>111</v>
      </c>
      <c r="M69" s="3"/>
    </row>
    <row r="70" spans="1:13" hidden="1">
      <c r="A70" s="54">
        <v>69</v>
      </c>
      <c r="B70" s="54" t="s">
        <v>21</v>
      </c>
      <c r="C70" s="54" t="s">
        <v>380</v>
      </c>
      <c r="D70" s="54" t="s">
        <v>381</v>
      </c>
      <c r="E70" s="54" t="s">
        <v>382</v>
      </c>
      <c r="F70" s="54" t="s">
        <v>48</v>
      </c>
      <c r="G70" s="54" t="s">
        <v>383</v>
      </c>
      <c r="H70" s="54" t="s">
        <v>384</v>
      </c>
      <c r="I70" s="54" t="s">
        <v>108</v>
      </c>
      <c r="J70" s="54" t="s">
        <v>135</v>
      </c>
      <c r="K70" s="54" t="s">
        <v>136</v>
      </c>
      <c r="L70" s="54" t="s">
        <v>111</v>
      </c>
      <c r="M70" s="3"/>
    </row>
    <row r="71" spans="1:13" hidden="1">
      <c r="A71" s="54">
        <v>70</v>
      </c>
      <c r="B71" s="54" t="s">
        <v>21</v>
      </c>
      <c r="C71" s="54" t="s">
        <v>385</v>
      </c>
      <c r="D71" s="54" t="s">
        <v>386</v>
      </c>
      <c r="E71" s="54" t="s">
        <v>382</v>
      </c>
      <c r="F71" s="54" t="s">
        <v>49</v>
      </c>
      <c r="G71" s="54" t="s">
        <v>387</v>
      </c>
      <c r="H71" s="54" t="s">
        <v>341</v>
      </c>
      <c r="I71" s="54" t="s">
        <v>108</v>
      </c>
      <c r="J71" s="54" t="s">
        <v>130</v>
      </c>
      <c r="K71" s="54" t="s">
        <v>110</v>
      </c>
      <c r="L71" s="54" t="s">
        <v>111</v>
      </c>
      <c r="M71" s="3"/>
    </row>
    <row r="72" spans="1:13" hidden="1">
      <c r="A72" s="54">
        <v>71</v>
      </c>
      <c r="B72" s="54" t="s">
        <v>21</v>
      </c>
      <c r="C72" s="54" t="s">
        <v>388</v>
      </c>
      <c r="D72" s="54" t="s">
        <v>389</v>
      </c>
      <c r="E72" s="54" t="s">
        <v>390</v>
      </c>
      <c r="F72" s="54" t="s">
        <v>49</v>
      </c>
      <c r="G72" s="54" t="s">
        <v>391</v>
      </c>
      <c r="H72" s="54" t="s">
        <v>384</v>
      </c>
      <c r="I72" s="54" t="s">
        <v>108</v>
      </c>
      <c r="J72" s="54" t="s">
        <v>135</v>
      </c>
      <c r="K72" s="54" t="s">
        <v>136</v>
      </c>
      <c r="L72" s="54" t="s">
        <v>117</v>
      </c>
      <c r="M72" s="3"/>
    </row>
    <row r="73" spans="1:13" hidden="1">
      <c r="A73" s="54">
        <v>72</v>
      </c>
      <c r="B73" s="54" t="s">
        <v>32</v>
      </c>
      <c r="C73" s="54" t="s">
        <v>392</v>
      </c>
      <c r="D73" s="54" t="s">
        <v>393</v>
      </c>
      <c r="E73" s="54" t="s">
        <v>276</v>
      </c>
      <c r="F73" s="54" t="s">
        <v>50</v>
      </c>
      <c r="G73" s="55"/>
      <c r="H73" s="55"/>
      <c r="I73" s="54" t="s">
        <v>186</v>
      </c>
      <c r="J73" s="54" t="s">
        <v>187</v>
      </c>
      <c r="K73" s="54"/>
      <c r="L73" s="54" t="s">
        <v>188</v>
      </c>
      <c r="M73" s="3"/>
    </row>
    <row r="74" spans="1:13" hidden="1">
      <c r="A74" s="54">
        <v>73</v>
      </c>
      <c r="B74" s="54" t="s">
        <v>32</v>
      </c>
      <c r="C74" s="54" t="s">
        <v>394</v>
      </c>
      <c r="D74" s="54" t="s">
        <v>395</v>
      </c>
      <c r="E74" s="54" t="s">
        <v>226</v>
      </c>
      <c r="F74" s="54" t="s">
        <v>50</v>
      </c>
      <c r="G74" s="54" t="s">
        <v>396</v>
      </c>
      <c r="H74" s="54" t="s">
        <v>397</v>
      </c>
      <c r="I74" s="54" t="s">
        <v>135</v>
      </c>
      <c r="J74" s="54" t="s">
        <v>136</v>
      </c>
      <c r="K74" s="54" t="s">
        <v>150</v>
      </c>
      <c r="L74" s="54" t="s">
        <v>162</v>
      </c>
      <c r="M74" s="3"/>
    </row>
    <row r="75" spans="1:13" hidden="1">
      <c r="A75" s="54">
        <v>74</v>
      </c>
      <c r="B75" s="54" t="s">
        <v>32</v>
      </c>
      <c r="C75" s="54" t="s">
        <v>398</v>
      </c>
      <c r="D75" s="54" t="s">
        <v>399</v>
      </c>
      <c r="E75" s="54" t="s">
        <v>276</v>
      </c>
      <c r="F75" s="54" t="s">
        <v>50</v>
      </c>
      <c r="G75" s="55"/>
      <c r="H75" s="55"/>
      <c r="I75" s="54" t="s">
        <v>186</v>
      </c>
      <c r="J75" s="54" t="s">
        <v>187</v>
      </c>
      <c r="K75" s="54"/>
      <c r="L75" s="54" t="s">
        <v>188</v>
      </c>
      <c r="M75" s="3"/>
    </row>
    <row r="76" spans="1:13" hidden="1">
      <c r="A76" s="54">
        <v>75</v>
      </c>
      <c r="B76" s="54" t="s">
        <v>32</v>
      </c>
      <c r="C76" s="54" t="s">
        <v>400</v>
      </c>
      <c r="D76" s="54" t="s">
        <v>401</v>
      </c>
      <c r="E76" s="54" t="s">
        <v>402</v>
      </c>
      <c r="F76" s="54" t="s">
        <v>50</v>
      </c>
      <c r="G76" s="55"/>
      <c r="H76" s="55"/>
      <c r="I76" s="54"/>
      <c r="J76" s="54"/>
      <c r="K76" s="54"/>
      <c r="L76" s="54" t="s">
        <v>16</v>
      </c>
      <c r="M76" s="3"/>
    </row>
    <row r="77" spans="1:13" hidden="1">
      <c r="A77" s="54">
        <v>76</v>
      </c>
      <c r="B77" s="54" t="s">
        <v>32</v>
      </c>
      <c r="C77" s="54" t="s">
        <v>403</v>
      </c>
      <c r="D77" s="54" t="s">
        <v>404</v>
      </c>
      <c r="E77" s="54" t="s">
        <v>226</v>
      </c>
      <c r="F77" s="54" t="s">
        <v>50</v>
      </c>
      <c r="G77" s="55"/>
      <c r="H77" s="55"/>
      <c r="I77" s="54" t="s">
        <v>186</v>
      </c>
      <c r="J77" s="54" t="s">
        <v>187</v>
      </c>
      <c r="K77" s="54"/>
      <c r="L77" s="54" t="s">
        <v>188</v>
      </c>
      <c r="M77" s="3"/>
    </row>
    <row r="78" spans="1:13" hidden="1">
      <c r="A78" s="54">
        <v>77</v>
      </c>
      <c r="B78" s="54" t="s">
        <v>21</v>
      </c>
      <c r="C78" s="54" t="s">
        <v>405</v>
      </c>
      <c r="D78" s="54" t="s">
        <v>406</v>
      </c>
      <c r="E78" s="54" t="s">
        <v>287</v>
      </c>
      <c r="F78" s="56" t="s">
        <v>407</v>
      </c>
      <c r="G78" s="54" t="s">
        <v>408</v>
      </c>
      <c r="H78" s="54" t="s">
        <v>341</v>
      </c>
      <c r="I78" s="54" t="s">
        <v>108</v>
      </c>
      <c r="J78" s="54" t="s">
        <v>130</v>
      </c>
      <c r="K78" s="54" t="s">
        <v>110</v>
      </c>
      <c r="L78" s="54" t="s">
        <v>117</v>
      </c>
      <c r="M78" s="3"/>
    </row>
    <row r="79" spans="1:13" hidden="1">
      <c r="A79" s="54">
        <v>78</v>
      </c>
      <c r="B79" s="54" t="s">
        <v>21</v>
      </c>
      <c r="C79" s="54" t="s">
        <v>409</v>
      </c>
      <c r="D79" s="54" t="s">
        <v>410</v>
      </c>
      <c r="E79" s="54" t="s">
        <v>382</v>
      </c>
      <c r="F79" s="56" t="s">
        <v>407</v>
      </c>
      <c r="G79" s="54" t="s">
        <v>411</v>
      </c>
      <c r="H79" s="54" t="s">
        <v>412</v>
      </c>
      <c r="I79" s="54" t="s">
        <v>108</v>
      </c>
      <c r="J79" s="54" t="s">
        <v>109</v>
      </c>
      <c r="K79" s="54" t="s">
        <v>110</v>
      </c>
      <c r="L79" s="54" t="s">
        <v>111</v>
      </c>
      <c r="M79" s="3"/>
    </row>
    <row r="80" spans="1:13" hidden="1">
      <c r="A80" s="54">
        <v>79</v>
      </c>
      <c r="B80" s="54" t="s">
        <v>25</v>
      </c>
      <c r="C80" s="54" t="s">
        <v>413</v>
      </c>
      <c r="D80" s="54" t="s">
        <v>414</v>
      </c>
      <c r="E80" s="54" t="s">
        <v>415</v>
      </c>
      <c r="F80" s="54" t="s">
        <v>52</v>
      </c>
      <c r="G80" s="54" t="s">
        <v>416</v>
      </c>
      <c r="H80" s="54" t="s">
        <v>417</v>
      </c>
      <c r="I80" s="54" t="s">
        <v>108</v>
      </c>
      <c r="J80" s="54" t="s">
        <v>130</v>
      </c>
      <c r="K80" s="54" t="s">
        <v>110</v>
      </c>
      <c r="L80" s="54" t="s">
        <v>111</v>
      </c>
      <c r="M80" s="3"/>
    </row>
    <row r="81" spans="1:13" hidden="1">
      <c r="A81" s="54">
        <v>80</v>
      </c>
      <c r="B81" s="54" t="s">
        <v>25</v>
      </c>
      <c r="C81" s="54" t="s">
        <v>418</v>
      </c>
      <c r="D81" s="54" t="s">
        <v>419</v>
      </c>
      <c r="E81" s="54" t="s">
        <v>226</v>
      </c>
      <c r="F81" s="54" t="s">
        <v>52</v>
      </c>
      <c r="G81" s="54" t="s">
        <v>420</v>
      </c>
      <c r="H81" s="54" t="s">
        <v>421</v>
      </c>
      <c r="I81" s="54"/>
      <c r="J81" s="54"/>
      <c r="K81" s="54"/>
      <c r="L81" s="54" t="s">
        <v>16</v>
      </c>
      <c r="M81" s="3"/>
    </row>
    <row r="82" spans="1:13" hidden="1">
      <c r="A82" s="54">
        <v>81</v>
      </c>
      <c r="B82" s="54" t="s">
        <v>25</v>
      </c>
      <c r="C82" s="54" t="s">
        <v>422</v>
      </c>
      <c r="D82" s="54" t="s">
        <v>423</v>
      </c>
      <c r="E82" s="54" t="s">
        <v>226</v>
      </c>
      <c r="F82" s="54" t="s">
        <v>52</v>
      </c>
      <c r="G82" s="54" t="s">
        <v>424</v>
      </c>
      <c r="H82" s="54" t="s">
        <v>425</v>
      </c>
      <c r="I82" s="54" t="s">
        <v>186</v>
      </c>
      <c r="J82" s="54" t="s">
        <v>187</v>
      </c>
      <c r="K82" s="54"/>
      <c r="L82" s="54" t="s">
        <v>188</v>
      </c>
      <c r="M82" s="3"/>
    </row>
    <row r="83" spans="1:13" hidden="1">
      <c r="A83" s="54">
        <v>82</v>
      </c>
      <c r="B83" s="54" t="s">
        <v>25</v>
      </c>
      <c r="C83" s="54" t="s">
        <v>426</v>
      </c>
      <c r="D83" s="54" t="s">
        <v>427</v>
      </c>
      <c r="E83" s="54" t="s">
        <v>226</v>
      </c>
      <c r="F83" s="54" t="s">
        <v>52</v>
      </c>
      <c r="G83" s="54" t="s">
        <v>428</v>
      </c>
      <c r="H83" s="54" t="s">
        <v>429</v>
      </c>
      <c r="I83" s="54" t="s">
        <v>108</v>
      </c>
      <c r="J83" s="54" t="s">
        <v>130</v>
      </c>
      <c r="K83" s="54" t="s">
        <v>110</v>
      </c>
      <c r="L83" s="54" t="s">
        <v>111</v>
      </c>
      <c r="M83" s="3"/>
    </row>
    <row r="84" spans="1:13">
      <c r="A84" s="54">
        <v>83</v>
      </c>
      <c r="B84" s="54" t="s">
        <v>21</v>
      </c>
      <c r="C84" s="54" t="s">
        <v>430</v>
      </c>
      <c r="D84" s="54" t="s">
        <v>431</v>
      </c>
      <c r="E84" s="54" t="s">
        <v>159</v>
      </c>
      <c r="F84" s="54" t="s">
        <v>53</v>
      </c>
      <c r="G84" s="55"/>
      <c r="H84" s="55"/>
      <c r="I84" s="54"/>
      <c r="J84" s="54"/>
      <c r="K84" s="54"/>
      <c r="L84" s="54" t="s">
        <v>12</v>
      </c>
      <c r="M84" s="3"/>
    </row>
    <row r="85" spans="1:13">
      <c r="A85" s="54">
        <v>84</v>
      </c>
      <c r="B85" s="54" t="s">
        <v>21</v>
      </c>
      <c r="C85" s="54" t="s">
        <v>432</v>
      </c>
      <c r="D85" s="54" t="s">
        <v>433</v>
      </c>
      <c r="E85" s="54" t="s">
        <v>159</v>
      </c>
      <c r="F85" s="54" t="s">
        <v>53</v>
      </c>
      <c r="G85" s="55"/>
      <c r="H85" s="55"/>
      <c r="I85" s="54"/>
      <c r="J85" s="54"/>
      <c r="K85" s="54"/>
      <c r="L85" s="54" t="s">
        <v>12</v>
      </c>
      <c r="M85" s="3"/>
    </row>
    <row r="86" spans="1:13" hidden="1">
      <c r="A86" s="54">
        <v>85</v>
      </c>
      <c r="B86" s="54" t="s">
        <v>21</v>
      </c>
      <c r="C86" s="54" t="s">
        <v>434</v>
      </c>
      <c r="D86" s="54" t="s">
        <v>435</v>
      </c>
      <c r="E86" s="54" t="s">
        <v>436</v>
      </c>
      <c r="F86" s="56" t="s">
        <v>437</v>
      </c>
      <c r="G86" s="54" t="s">
        <v>438</v>
      </c>
      <c r="H86" s="54" t="s">
        <v>412</v>
      </c>
      <c r="I86" s="54"/>
      <c r="J86" s="54"/>
      <c r="K86" s="54"/>
      <c r="L86" s="54" t="s">
        <v>16</v>
      </c>
      <c r="M86" s="3"/>
    </row>
    <row r="87" spans="1:13" hidden="1">
      <c r="A87" s="54">
        <v>86</v>
      </c>
      <c r="B87" s="54" t="s">
        <v>21</v>
      </c>
      <c r="C87" s="54" t="s">
        <v>439</v>
      </c>
      <c r="D87" s="54" t="s">
        <v>440</v>
      </c>
      <c r="E87" s="54" t="s">
        <v>441</v>
      </c>
      <c r="F87" s="56" t="s">
        <v>54</v>
      </c>
      <c r="G87" s="54" t="s">
        <v>442</v>
      </c>
      <c r="H87" s="54" t="s">
        <v>212</v>
      </c>
      <c r="I87" s="54" t="s">
        <v>110</v>
      </c>
      <c r="J87" s="54" t="s">
        <v>250</v>
      </c>
      <c r="K87" s="54" t="s">
        <v>443</v>
      </c>
      <c r="L87" s="54" t="s">
        <v>117</v>
      </c>
      <c r="M87" s="3"/>
    </row>
    <row r="88" spans="1:13" hidden="1">
      <c r="A88" s="54">
        <v>87</v>
      </c>
      <c r="B88" s="54" t="s">
        <v>21</v>
      </c>
      <c r="C88" s="54" t="s">
        <v>444</v>
      </c>
      <c r="D88" s="54" t="s">
        <v>445</v>
      </c>
      <c r="E88" s="54" t="s">
        <v>159</v>
      </c>
      <c r="F88" s="56" t="s">
        <v>54</v>
      </c>
      <c r="G88" s="54" t="s">
        <v>446</v>
      </c>
      <c r="H88" s="54" t="s">
        <v>447</v>
      </c>
      <c r="I88" s="54" t="s">
        <v>108</v>
      </c>
      <c r="J88" s="54" t="s">
        <v>135</v>
      </c>
      <c r="K88" s="54" t="s">
        <v>136</v>
      </c>
      <c r="L88" s="54" t="s">
        <v>117</v>
      </c>
      <c r="M88" s="3"/>
    </row>
    <row r="89" spans="1:13" hidden="1">
      <c r="A89" s="54">
        <v>88</v>
      </c>
      <c r="B89" s="54" t="s">
        <v>30</v>
      </c>
      <c r="C89" s="54" t="s">
        <v>448</v>
      </c>
      <c r="D89" s="54" t="s">
        <v>449</v>
      </c>
      <c r="E89" s="54" t="s">
        <v>226</v>
      </c>
      <c r="F89" s="54" t="s">
        <v>55</v>
      </c>
      <c r="G89" s="55"/>
      <c r="H89" s="55"/>
      <c r="I89" s="55"/>
      <c r="J89" s="54"/>
      <c r="K89" s="54"/>
      <c r="L89" s="54" t="s">
        <v>122</v>
      </c>
      <c r="M89" s="3"/>
    </row>
    <row r="90" spans="1:13" hidden="1">
      <c r="A90" s="54">
        <v>89</v>
      </c>
      <c r="B90" s="54" t="s">
        <v>30</v>
      </c>
      <c r="C90" s="54" t="s">
        <v>450</v>
      </c>
      <c r="D90" s="54" t="s">
        <v>451</v>
      </c>
      <c r="E90" s="54" t="s">
        <v>276</v>
      </c>
      <c r="F90" s="54" t="s">
        <v>55</v>
      </c>
      <c r="G90" s="54" t="s">
        <v>452</v>
      </c>
      <c r="H90" s="54" t="s">
        <v>228</v>
      </c>
      <c r="I90" s="54" t="s">
        <v>108</v>
      </c>
      <c r="J90" s="54" t="s">
        <v>135</v>
      </c>
      <c r="K90" s="54" t="s">
        <v>136</v>
      </c>
      <c r="L90" s="54" t="s">
        <v>117</v>
      </c>
      <c r="M90" s="3"/>
    </row>
    <row r="91" spans="1:13" hidden="1">
      <c r="A91" s="54">
        <v>90</v>
      </c>
      <c r="B91" s="54" t="s">
        <v>30</v>
      </c>
      <c r="C91" s="54" t="s">
        <v>453</v>
      </c>
      <c r="D91" s="54" t="s">
        <v>454</v>
      </c>
      <c r="E91" s="54" t="s">
        <v>276</v>
      </c>
      <c r="F91" s="54" t="s">
        <v>55</v>
      </c>
      <c r="G91" s="54" t="s">
        <v>455</v>
      </c>
      <c r="H91" s="54" t="s">
        <v>456</v>
      </c>
      <c r="I91" s="54" t="s">
        <v>198</v>
      </c>
      <c r="J91" s="54" t="s">
        <v>135</v>
      </c>
      <c r="K91" s="54" t="s">
        <v>136</v>
      </c>
      <c r="L91" s="54" t="s">
        <v>117</v>
      </c>
      <c r="M91" s="3"/>
    </row>
    <row r="92" spans="1:13">
      <c r="A92" s="54">
        <v>91</v>
      </c>
      <c r="B92" s="54" t="s">
        <v>30</v>
      </c>
      <c r="C92" s="54" t="s">
        <v>457</v>
      </c>
      <c r="D92" s="54" t="s">
        <v>458</v>
      </c>
      <c r="E92" s="54" t="s">
        <v>226</v>
      </c>
      <c r="F92" s="54" t="s">
        <v>55</v>
      </c>
      <c r="G92" s="55"/>
      <c r="H92" s="55"/>
      <c r="I92" s="55"/>
      <c r="J92" s="54"/>
      <c r="K92" s="54"/>
      <c r="L92" s="54" t="s">
        <v>12</v>
      </c>
      <c r="M92" s="3"/>
    </row>
    <row r="93" spans="1:13">
      <c r="A93" s="54">
        <v>92</v>
      </c>
      <c r="B93" s="54" t="s">
        <v>30</v>
      </c>
      <c r="C93" s="54" t="s">
        <v>459</v>
      </c>
      <c r="D93" s="54" t="s">
        <v>460</v>
      </c>
      <c r="E93" s="54" t="s">
        <v>276</v>
      </c>
      <c r="F93" s="54" t="s">
        <v>55</v>
      </c>
      <c r="G93" s="55"/>
      <c r="H93" s="55"/>
      <c r="I93" s="55"/>
      <c r="J93" s="54"/>
      <c r="K93" s="54"/>
      <c r="L93" s="54" t="s">
        <v>12</v>
      </c>
      <c r="M93" s="3"/>
    </row>
    <row r="94" spans="1:13" hidden="1">
      <c r="A94" s="54">
        <v>93</v>
      </c>
      <c r="B94" s="54" t="s">
        <v>30</v>
      </c>
      <c r="C94" s="54" t="s">
        <v>461</v>
      </c>
      <c r="D94" s="54" t="s">
        <v>462</v>
      </c>
      <c r="E94" s="54" t="s">
        <v>226</v>
      </c>
      <c r="F94" s="54" t="s">
        <v>55</v>
      </c>
      <c r="G94" s="55"/>
      <c r="H94" s="55"/>
      <c r="I94" s="55"/>
      <c r="J94" s="54"/>
      <c r="K94" s="54"/>
      <c r="L94" s="54" t="s">
        <v>16</v>
      </c>
      <c r="M94" s="3"/>
    </row>
    <row r="95" spans="1:13" hidden="1">
      <c r="A95" s="54">
        <v>94</v>
      </c>
      <c r="B95" s="54" t="s">
        <v>30</v>
      </c>
      <c r="C95" s="54" t="s">
        <v>463</v>
      </c>
      <c r="D95" s="54" t="s">
        <v>464</v>
      </c>
      <c r="E95" s="54" t="s">
        <v>159</v>
      </c>
      <c r="F95" s="54" t="s">
        <v>55</v>
      </c>
      <c r="G95" s="55"/>
      <c r="H95" s="55"/>
      <c r="I95" s="55"/>
      <c r="J95" s="54"/>
      <c r="K95" s="54"/>
      <c r="L95" s="54" t="s">
        <v>16</v>
      </c>
      <c r="M95" s="3"/>
    </row>
    <row r="96" spans="1:13" hidden="1">
      <c r="A96" s="54">
        <v>95</v>
      </c>
      <c r="B96" s="54" t="s">
        <v>30</v>
      </c>
      <c r="C96" s="54" t="s">
        <v>465</v>
      </c>
      <c r="D96" s="54" t="s">
        <v>466</v>
      </c>
      <c r="E96" s="54" t="s">
        <v>159</v>
      </c>
      <c r="F96" s="54" t="s">
        <v>55</v>
      </c>
      <c r="G96" s="55"/>
      <c r="H96" s="55"/>
      <c r="I96" s="55"/>
      <c r="J96" s="54"/>
      <c r="K96" s="54"/>
      <c r="L96" s="54" t="s">
        <v>16</v>
      </c>
      <c r="M96" s="3"/>
    </row>
    <row r="97" spans="1:13">
      <c r="A97" s="54">
        <v>96</v>
      </c>
      <c r="B97" s="54" t="s">
        <v>30</v>
      </c>
      <c r="C97" s="54" t="s">
        <v>467</v>
      </c>
      <c r="D97" s="54" t="s">
        <v>468</v>
      </c>
      <c r="E97" s="54" t="s">
        <v>226</v>
      </c>
      <c r="F97" s="54" t="s">
        <v>55</v>
      </c>
      <c r="G97" s="55"/>
      <c r="H97" s="55"/>
      <c r="I97" s="55"/>
      <c r="J97" s="54"/>
      <c r="K97" s="54"/>
      <c r="L97" s="54" t="s">
        <v>12</v>
      </c>
      <c r="M97" s="3"/>
    </row>
    <row r="98" spans="1:13">
      <c r="A98" s="54">
        <v>97</v>
      </c>
      <c r="B98" s="54" t="s">
        <v>30</v>
      </c>
      <c r="C98" s="54" t="s">
        <v>469</v>
      </c>
      <c r="D98" s="54" t="s">
        <v>470</v>
      </c>
      <c r="E98" s="54" t="s">
        <v>226</v>
      </c>
      <c r="F98" s="54" t="s">
        <v>55</v>
      </c>
      <c r="G98" s="55"/>
      <c r="H98" s="55"/>
      <c r="I98" s="55"/>
      <c r="J98" s="54"/>
      <c r="K98" s="54"/>
      <c r="L98" s="54" t="s">
        <v>12</v>
      </c>
      <c r="M98" s="3"/>
    </row>
    <row r="99" spans="1:13">
      <c r="A99" s="54">
        <v>98</v>
      </c>
      <c r="B99" s="54" t="s">
        <v>30</v>
      </c>
      <c r="C99" s="54" t="s">
        <v>471</v>
      </c>
      <c r="D99" s="54" t="s">
        <v>472</v>
      </c>
      <c r="E99" s="54" t="s">
        <v>226</v>
      </c>
      <c r="F99" s="54" t="s">
        <v>55</v>
      </c>
      <c r="G99" s="55"/>
      <c r="H99" s="55"/>
      <c r="I99" s="55"/>
      <c r="J99" s="54"/>
      <c r="K99" s="54"/>
      <c r="L99" s="54" t="s">
        <v>12</v>
      </c>
      <c r="M99" s="3"/>
    </row>
    <row r="100" spans="1:13" hidden="1">
      <c r="A100" s="54">
        <v>99</v>
      </c>
      <c r="B100" s="54" t="s">
        <v>30</v>
      </c>
      <c r="C100" s="54" t="s">
        <v>473</v>
      </c>
      <c r="D100" s="54" t="s">
        <v>474</v>
      </c>
      <c r="E100" s="54" t="s">
        <v>475</v>
      </c>
      <c r="F100" s="54" t="s">
        <v>55</v>
      </c>
      <c r="G100" s="54" t="s">
        <v>476</v>
      </c>
      <c r="H100" s="54" t="s">
        <v>264</v>
      </c>
      <c r="I100" s="54" t="s">
        <v>108</v>
      </c>
      <c r="J100" s="54" t="s">
        <v>135</v>
      </c>
      <c r="K100" s="54" t="s">
        <v>136</v>
      </c>
      <c r="L100" s="54" t="s">
        <v>162</v>
      </c>
      <c r="M100" s="3"/>
    </row>
    <row r="101" spans="1:13" hidden="1">
      <c r="A101" s="54">
        <v>100</v>
      </c>
      <c r="B101" s="54" t="s">
        <v>30</v>
      </c>
      <c r="C101" s="54" t="s">
        <v>477</v>
      </c>
      <c r="D101" s="54" t="s">
        <v>478</v>
      </c>
      <c r="E101" s="54" t="s">
        <v>226</v>
      </c>
      <c r="F101" s="54" t="s">
        <v>55</v>
      </c>
      <c r="G101" s="54" t="s">
        <v>479</v>
      </c>
      <c r="H101" s="54" t="s">
        <v>456</v>
      </c>
      <c r="I101" s="54" t="s">
        <v>198</v>
      </c>
      <c r="J101" s="54" t="s">
        <v>135</v>
      </c>
      <c r="K101" s="54" t="s">
        <v>136</v>
      </c>
      <c r="L101" s="54" t="s">
        <v>162</v>
      </c>
      <c r="M101" s="3"/>
    </row>
    <row r="102" spans="1:13" hidden="1">
      <c r="A102" s="54">
        <v>101</v>
      </c>
      <c r="B102" s="54" t="s">
        <v>30</v>
      </c>
      <c r="C102" s="54" t="s">
        <v>480</v>
      </c>
      <c r="D102" s="54" t="s">
        <v>481</v>
      </c>
      <c r="E102" s="54" t="s">
        <v>482</v>
      </c>
      <c r="F102" s="54" t="s">
        <v>55</v>
      </c>
      <c r="G102" s="55"/>
      <c r="H102" s="55"/>
      <c r="I102" s="55"/>
      <c r="J102" s="54"/>
      <c r="K102" s="54"/>
      <c r="L102" s="54" t="s">
        <v>16</v>
      </c>
      <c r="M102" s="3"/>
    </row>
    <row r="103" spans="1:13" hidden="1">
      <c r="A103" s="54">
        <v>102</v>
      </c>
      <c r="B103" s="54" t="s">
        <v>30</v>
      </c>
      <c r="C103" s="54" t="s">
        <v>483</v>
      </c>
      <c r="D103" s="54" t="s">
        <v>484</v>
      </c>
      <c r="E103" s="54" t="s">
        <v>226</v>
      </c>
      <c r="F103" s="54" t="s">
        <v>55</v>
      </c>
      <c r="G103" s="55"/>
      <c r="H103" s="55"/>
      <c r="I103" s="55"/>
      <c r="J103" s="54"/>
      <c r="K103" s="54"/>
      <c r="L103" s="54" t="s">
        <v>16</v>
      </c>
      <c r="M103" s="3"/>
    </row>
    <row r="104" spans="1:13" hidden="1">
      <c r="A104" s="54">
        <v>103</v>
      </c>
      <c r="B104" s="54" t="s">
        <v>30</v>
      </c>
      <c r="C104" s="54" t="s">
        <v>485</v>
      </c>
      <c r="D104" s="54" t="s">
        <v>486</v>
      </c>
      <c r="E104" s="54" t="s">
        <v>276</v>
      </c>
      <c r="F104" s="54" t="s">
        <v>55</v>
      </c>
      <c r="G104" s="55"/>
      <c r="H104" s="55"/>
      <c r="I104" s="54" t="s">
        <v>186</v>
      </c>
      <c r="J104" s="54" t="s">
        <v>187</v>
      </c>
      <c r="K104" s="54"/>
      <c r="L104" s="54" t="s">
        <v>188</v>
      </c>
      <c r="M104" s="3"/>
    </row>
    <row r="105" spans="1:13" hidden="1">
      <c r="A105" s="54">
        <v>104</v>
      </c>
      <c r="B105" s="54" t="s">
        <v>30</v>
      </c>
      <c r="C105" s="54" t="s">
        <v>487</v>
      </c>
      <c r="D105" s="54" t="s">
        <v>488</v>
      </c>
      <c r="E105" s="54" t="s">
        <v>489</v>
      </c>
      <c r="F105" s="54" t="s">
        <v>55</v>
      </c>
      <c r="G105" s="54" t="s">
        <v>490</v>
      </c>
      <c r="H105" s="54" t="s">
        <v>491</v>
      </c>
      <c r="I105" s="54"/>
      <c r="J105" s="54"/>
      <c r="K105" s="54"/>
      <c r="L105" s="54" t="s">
        <v>122</v>
      </c>
      <c r="M105" s="3"/>
    </row>
    <row r="106" spans="1:13" hidden="1">
      <c r="A106" s="54">
        <v>105</v>
      </c>
      <c r="B106" s="54" t="s">
        <v>30</v>
      </c>
      <c r="C106" s="54" t="s">
        <v>492</v>
      </c>
      <c r="D106" s="54" t="s">
        <v>493</v>
      </c>
      <c r="E106" s="54" t="s">
        <v>226</v>
      </c>
      <c r="F106" s="54" t="s">
        <v>55</v>
      </c>
      <c r="G106" s="55"/>
      <c r="H106" s="55"/>
      <c r="I106" s="55"/>
      <c r="J106" s="54"/>
      <c r="K106" s="54"/>
      <c r="L106" s="54" t="s">
        <v>122</v>
      </c>
      <c r="M106" s="3"/>
    </row>
    <row r="107" spans="1:13" hidden="1">
      <c r="A107" s="54">
        <v>106</v>
      </c>
      <c r="B107" s="54" t="s">
        <v>30</v>
      </c>
      <c r="C107" s="54" t="s">
        <v>494</v>
      </c>
      <c r="D107" s="54" t="s">
        <v>495</v>
      </c>
      <c r="E107" s="54" t="s">
        <v>159</v>
      </c>
      <c r="F107" s="54" t="s">
        <v>55</v>
      </c>
      <c r="G107" s="55"/>
      <c r="H107" s="55"/>
      <c r="I107" s="54" t="s">
        <v>186</v>
      </c>
      <c r="J107" s="54" t="s">
        <v>187</v>
      </c>
      <c r="K107" s="54"/>
      <c r="L107" s="54" t="s">
        <v>188</v>
      </c>
      <c r="M107" s="3"/>
    </row>
    <row r="108" spans="1:13" hidden="1">
      <c r="A108" s="54">
        <v>107</v>
      </c>
      <c r="B108" s="54" t="s">
        <v>30</v>
      </c>
      <c r="C108" s="54" t="s">
        <v>496</v>
      </c>
      <c r="D108" s="54" t="s">
        <v>497</v>
      </c>
      <c r="E108" s="54" t="s">
        <v>226</v>
      </c>
      <c r="F108" s="54" t="s">
        <v>55</v>
      </c>
      <c r="G108" s="54" t="s">
        <v>498</v>
      </c>
      <c r="H108" s="54" t="s">
        <v>499</v>
      </c>
      <c r="I108" s="54" t="s">
        <v>108</v>
      </c>
      <c r="J108" s="54" t="s">
        <v>130</v>
      </c>
      <c r="K108" s="54" t="s">
        <v>110</v>
      </c>
      <c r="L108" s="54" t="s">
        <v>162</v>
      </c>
      <c r="M108" s="3"/>
    </row>
    <row r="109" spans="1:13" hidden="1">
      <c r="A109" s="54">
        <v>108</v>
      </c>
      <c r="B109" s="54" t="s">
        <v>30</v>
      </c>
      <c r="C109" s="54" t="s">
        <v>500</v>
      </c>
      <c r="D109" s="54" t="s">
        <v>501</v>
      </c>
      <c r="E109" s="54" t="s">
        <v>159</v>
      </c>
      <c r="F109" s="54" t="s">
        <v>55</v>
      </c>
      <c r="G109" s="55"/>
      <c r="H109" s="55"/>
      <c r="I109" s="54" t="s">
        <v>186</v>
      </c>
      <c r="J109" s="54" t="s">
        <v>187</v>
      </c>
      <c r="K109" s="54"/>
      <c r="L109" s="54" t="s">
        <v>188</v>
      </c>
      <c r="M109" s="3"/>
    </row>
    <row r="110" spans="1:13" hidden="1">
      <c r="A110" s="54">
        <v>109</v>
      </c>
      <c r="B110" s="54" t="s">
        <v>30</v>
      </c>
      <c r="C110" s="54" t="s">
        <v>502</v>
      </c>
      <c r="D110" s="54" t="s">
        <v>503</v>
      </c>
      <c r="E110" s="54" t="s">
        <v>504</v>
      </c>
      <c r="F110" s="54" t="s">
        <v>55</v>
      </c>
      <c r="G110" s="54" t="s">
        <v>479</v>
      </c>
      <c r="H110" s="54" t="s">
        <v>397</v>
      </c>
      <c r="I110" s="54" t="s">
        <v>135</v>
      </c>
      <c r="J110" s="54" t="s">
        <v>136</v>
      </c>
      <c r="K110" s="54" t="s">
        <v>150</v>
      </c>
      <c r="L110" s="54" t="s">
        <v>111</v>
      </c>
      <c r="M110" s="3"/>
    </row>
    <row r="111" spans="1:13">
      <c r="A111" s="54">
        <v>110</v>
      </c>
      <c r="B111" s="54" t="s">
        <v>30</v>
      </c>
      <c r="C111" s="54" t="s">
        <v>505</v>
      </c>
      <c r="D111" s="54" t="s">
        <v>506</v>
      </c>
      <c r="E111" s="54" t="s">
        <v>226</v>
      </c>
      <c r="F111" s="54" t="s">
        <v>55</v>
      </c>
      <c r="G111" s="55"/>
      <c r="H111" s="55"/>
      <c r="I111" s="55"/>
      <c r="J111" s="54"/>
      <c r="K111" s="54"/>
      <c r="L111" s="54" t="s">
        <v>12</v>
      </c>
      <c r="M111" s="3"/>
    </row>
    <row r="112" spans="1:13">
      <c r="A112" s="54">
        <v>111</v>
      </c>
      <c r="B112" s="54" t="s">
        <v>30</v>
      </c>
      <c r="C112" s="54" t="s">
        <v>507</v>
      </c>
      <c r="D112" s="54" t="s">
        <v>508</v>
      </c>
      <c r="E112" s="54" t="s">
        <v>509</v>
      </c>
      <c r="F112" s="54" t="s">
        <v>56</v>
      </c>
      <c r="G112" s="55"/>
      <c r="H112" s="55"/>
      <c r="I112" s="55"/>
      <c r="J112" s="54"/>
      <c r="K112" s="54"/>
      <c r="L112" s="54" t="s">
        <v>12</v>
      </c>
      <c r="M112" s="3"/>
    </row>
    <row r="113" spans="1:13" hidden="1">
      <c r="A113" s="54">
        <v>112</v>
      </c>
      <c r="B113" s="54" t="s">
        <v>30</v>
      </c>
      <c r="C113" s="54" t="s">
        <v>510</v>
      </c>
      <c r="D113" s="54" t="s">
        <v>511</v>
      </c>
      <c r="E113" s="54" t="s">
        <v>226</v>
      </c>
      <c r="F113" s="54" t="s">
        <v>56</v>
      </c>
      <c r="G113" s="54" t="s">
        <v>512</v>
      </c>
      <c r="H113" s="54" t="s">
        <v>513</v>
      </c>
      <c r="I113" s="54"/>
      <c r="J113" s="54"/>
      <c r="K113" s="54"/>
      <c r="L113" s="54" t="s">
        <v>16</v>
      </c>
      <c r="M113" s="3"/>
    </row>
    <row r="114" spans="1:13" hidden="1">
      <c r="A114" s="54">
        <v>113</v>
      </c>
      <c r="B114" s="54" t="s">
        <v>30</v>
      </c>
      <c r="C114" s="54" t="s">
        <v>514</v>
      </c>
      <c r="D114" s="54" t="s">
        <v>515</v>
      </c>
      <c r="E114" s="54" t="s">
        <v>516</v>
      </c>
      <c r="F114" s="54" t="s">
        <v>56</v>
      </c>
      <c r="G114" s="54" t="s">
        <v>517</v>
      </c>
      <c r="H114" s="54" t="s">
        <v>149</v>
      </c>
      <c r="I114" s="54"/>
      <c r="J114" s="54"/>
      <c r="K114" s="54"/>
      <c r="L114" s="54" t="s">
        <v>16</v>
      </c>
      <c r="M114" s="3"/>
    </row>
    <row r="115" spans="1:13" hidden="1">
      <c r="A115" s="54">
        <v>114</v>
      </c>
      <c r="B115" s="54" t="s">
        <v>30</v>
      </c>
      <c r="C115" s="54" t="s">
        <v>518</v>
      </c>
      <c r="D115" s="54" t="s">
        <v>519</v>
      </c>
      <c r="E115" s="54" t="s">
        <v>102</v>
      </c>
      <c r="F115" s="54" t="s">
        <v>56</v>
      </c>
      <c r="G115" s="54" t="s">
        <v>520</v>
      </c>
      <c r="H115" s="54" t="s">
        <v>521</v>
      </c>
      <c r="I115" s="54" t="s">
        <v>186</v>
      </c>
      <c r="J115" s="54" t="s">
        <v>187</v>
      </c>
      <c r="K115" s="54"/>
      <c r="L115" s="54" t="s">
        <v>188</v>
      </c>
      <c r="M115" s="3"/>
    </row>
    <row r="116" spans="1:13" hidden="1">
      <c r="A116" s="54">
        <v>115</v>
      </c>
      <c r="B116" s="54" t="s">
        <v>21</v>
      </c>
      <c r="C116" s="54" t="s">
        <v>522</v>
      </c>
      <c r="D116" s="54" t="s">
        <v>523</v>
      </c>
      <c r="E116" s="54" t="s">
        <v>159</v>
      </c>
      <c r="F116" s="56" t="s">
        <v>524</v>
      </c>
      <c r="G116" s="55"/>
      <c r="H116" s="55"/>
      <c r="I116" s="54"/>
      <c r="J116" s="54"/>
      <c r="K116" s="54"/>
      <c r="L116" s="54" t="s">
        <v>122</v>
      </c>
      <c r="M116" s="3"/>
    </row>
    <row r="117" spans="1:13">
      <c r="A117" s="54">
        <v>116</v>
      </c>
      <c r="B117" s="54" t="s">
        <v>21</v>
      </c>
      <c r="C117" s="54" t="s">
        <v>525</v>
      </c>
      <c r="D117" s="54" t="s">
        <v>526</v>
      </c>
      <c r="E117" s="54" t="s">
        <v>159</v>
      </c>
      <c r="F117" s="56" t="s">
        <v>524</v>
      </c>
      <c r="G117" s="55"/>
      <c r="H117" s="55"/>
      <c r="I117" s="54"/>
      <c r="J117" s="54"/>
      <c r="K117" s="54"/>
      <c r="L117" s="54" t="s">
        <v>12</v>
      </c>
      <c r="M117" s="3"/>
    </row>
    <row r="118" spans="1:13" hidden="1">
      <c r="A118" s="54">
        <v>117</v>
      </c>
      <c r="B118" s="54" t="s">
        <v>21</v>
      </c>
      <c r="C118" s="54" t="s">
        <v>527</v>
      </c>
      <c r="D118" s="54" t="s">
        <v>528</v>
      </c>
      <c r="E118" s="54" t="s">
        <v>159</v>
      </c>
      <c r="F118" s="56" t="s">
        <v>524</v>
      </c>
      <c r="G118" s="54" t="s">
        <v>529</v>
      </c>
      <c r="H118" s="54" t="s">
        <v>530</v>
      </c>
      <c r="I118" s="54" t="s">
        <v>108</v>
      </c>
      <c r="J118" s="54" t="s">
        <v>130</v>
      </c>
      <c r="K118" s="54" t="s">
        <v>110</v>
      </c>
      <c r="L118" s="54" t="s">
        <v>111</v>
      </c>
      <c r="M118" s="3"/>
    </row>
    <row r="119" spans="1:13" hidden="1">
      <c r="A119" s="54">
        <v>118</v>
      </c>
      <c r="B119" s="54" t="s">
        <v>21</v>
      </c>
      <c r="C119" s="54" t="s">
        <v>531</v>
      </c>
      <c r="D119" s="54" t="s">
        <v>532</v>
      </c>
      <c r="E119" s="54" t="s">
        <v>402</v>
      </c>
      <c r="F119" s="56" t="s">
        <v>524</v>
      </c>
      <c r="G119" s="54" t="s">
        <v>533</v>
      </c>
      <c r="H119" s="54" t="s">
        <v>337</v>
      </c>
      <c r="I119" s="54" t="s">
        <v>116</v>
      </c>
      <c r="J119" s="54" t="s">
        <v>109</v>
      </c>
      <c r="K119" s="54" t="s">
        <v>110</v>
      </c>
      <c r="L119" s="54" t="s">
        <v>117</v>
      </c>
      <c r="M119" s="3"/>
    </row>
    <row r="120" spans="1:13" hidden="1">
      <c r="A120" s="54">
        <v>119</v>
      </c>
      <c r="B120" s="54" t="s">
        <v>21</v>
      </c>
      <c r="C120" s="54" t="s">
        <v>534</v>
      </c>
      <c r="D120" s="54" t="s">
        <v>535</v>
      </c>
      <c r="E120" s="54" t="s">
        <v>159</v>
      </c>
      <c r="F120" s="56" t="s">
        <v>524</v>
      </c>
      <c r="G120" s="54" t="s">
        <v>536</v>
      </c>
      <c r="H120" s="54" t="s">
        <v>537</v>
      </c>
      <c r="I120" s="54" t="s">
        <v>108</v>
      </c>
      <c r="J120" s="54" t="s">
        <v>135</v>
      </c>
      <c r="K120" s="54" t="s">
        <v>136</v>
      </c>
      <c r="L120" s="54" t="s">
        <v>111</v>
      </c>
      <c r="M120" s="3"/>
    </row>
    <row r="121" spans="1:13" hidden="1">
      <c r="A121" s="54">
        <v>120</v>
      </c>
      <c r="B121" s="54" t="s">
        <v>21</v>
      </c>
      <c r="C121" s="54" t="s">
        <v>538</v>
      </c>
      <c r="D121" s="54" t="s">
        <v>539</v>
      </c>
      <c r="E121" s="54" t="s">
        <v>159</v>
      </c>
      <c r="F121" s="56" t="s">
        <v>524</v>
      </c>
      <c r="G121" s="54" t="s">
        <v>540</v>
      </c>
      <c r="H121" s="54" t="s">
        <v>161</v>
      </c>
      <c r="I121" s="54" t="s">
        <v>108</v>
      </c>
      <c r="J121" s="54" t="s">
        <v>135</v>
      </c>
      <c r="K121" s="54" t="s">
        <v>136</v>
      </c>
      <c r="L121" s="54" t="s">
        <v>117</v>
      </c>
      <c r="M121" s="3"/>
    </row>
    <row r="122" spans="1:13">
      <c r="A122" s="54">
        <v>121</v>
      </c>
      <c r="B122" s="54" t="s">
        <v>21</v>
      </c>
      <c r="C122" s="54" t="s">
        <v>541</v>
      </c>
      <c r="D122" s="54" t="s">
        <v>542</v>
      </c>
      <c r="E122" s="54" t="s">
        <v>159</v>
      </c>
      <c r="F122" s="56" t="s">
        <v>524</v>
      </c>
      <c r="G122" s="55"/>
      <c r="H122" s="55"/>
      <c r="I122" s="54"/>
      <c r="J122" s="54"/>
      <c r="K122" s="54"/>
      <c r="L122" s="54" t="s">
        <v>12</v>
      </c>
      <c r="M122" s="3"/>
    </row>
    <row r="123" spans="1:13">
      <c r="A123" s="54">
        <v>122</v>
      </c>
      <c r="B123" s="54" t="s">
        <v>21</v>
      </c>
      <c r="C123" s="54" t="s">
        <v>543</v>
      </c>
      <c r="D123" s="54" t="s">
        <v>544</v>
      </c>
      <c r="E123" s="54" t="s">
        <v>159</v>
      </c>
      <c r="F123" s="56" t="s">
        <v>545</v>
      </c>
      <c r="G123" s="55"/>
      <c r="H123" s="55"/>
      <c r="I123" s="55"/>
      <c r="J123" s="54"/>
      <c r="K123" s="54"/>
      <c r="L123" s="54" t="s">
        <v>12</v>
      </c>
      <c r="M123" s="3"/>
    </row>
    <row r="124" spans="1:13" hidden="1">
      <c r="A124" s="54">
        <v>123</v>
      </c>
      <c r="B124" s="54" t="s">
        <v>21</v>
      </c>
      <c r="C124" s="54" t="s">
        <v>546</v>
      </c>
      <c r="D124" s="54" t="s">
        <v>547</v>
      </c>
      <c r="E124" s="54" t="s">
        <v>382</v>
      </c>
      <c r="F124" s="56" t="s">
        <v>545</v>
      </c>
      <c r="G124" s="54" t="s">
        <v>548</v>
      </c>
      <c r="H124" s="54" t="s">
        <v>341</v>
      </c>
      <c r="I124" s="54" t="s">
        <v>108</v>
      </c>
      <c r="J124" s="54" t="s">
        <v>130</v>
      </c>
      <c r="K124" s="54" t="s">
        <v>110</v>
      </c>
      <c r="L124" s="54" t="s">
        <v>162</v>
      </c>
      <c r="M124" s="3"/>
    </row>
    <row r="125" spans="1:13">
      <c r="A125" s="54">
        <v>124</v>
      </c>
      <c r="B125" s="54" t="s">
        <v>21</v>
      </c>
      <c r="C125" s="54" t="s">
        <v>549</v>
      </c>
      <c r="D125" s="54" t="s">
        <v>550</v>
      </c>
      <c r="E125" s="54" t="s">
        <v>159</v>
      </c>
      <c r="F125" s="56" t="s">
        <v>545</v>
      </c>
      <c r="G125" s="55"/>
      <c r="H125" s="55"/>
      <c r="I125" s="55"/>
      <c r="J125" s="54"/>
      <c r="K125" s="54"/>
      <c r="L125" s="54" t="s">
        <v>12</v>
      </c>
      <c r="M125" s="3"/>
    </row>
    <row r="126" spans="1:13" hidden="1">
      <c r="A126" s="54">
        <v>125</v>
      </c>
      <c r="B126" s="54" t="s">
        <v>21</v>
      </c>
      <c r="C126" s="54" t="s">
        <v>551</v>
      </c>
      <c r="D126" s="54" t="s">
        <v>552</v>
      </c>
      <c r="E126" s="54" t="s">
        <v>382</v>
      </c>
      <c r="F126" s="56" t="s">
        <v>545</v>
      </c>
      <c r="G126" s="54" t="s">
        <v>553</v>
      </c>
      <c r="H126" s="54" t="s">
        <v>554</v>
      </c>
      <c r="I126" s="54" t="s">
        <v>186</v>
      </c>
      <c r="J126" s="54" t="s">
        <v>187</v>
      </c>
      <c r="K126" s="54"/>
      <c r="L126" s="54" t="s">
        <v>188</v>
      </c>
      <c r="M126" s="3"/>
    </row>
    <row r="127" spans="1:13" hidden="1">
      <c r="A127" s="54">
        <v>126</v>
      </c>
      <c r="B127" s="54" t="s">
        <v>21</v>
      </c>
      <c r="C127" s="54" t="s">
        <v>555</v>
      </c>
      <c r="D127" s="54" t="s">
        <v>556</v>
      </c>
      <c r="E127" s="54" t="s">
        <v>382</v>
      </c>
      <c r="F127" s="56" t="s">
        <v>545</v>
      </c>
      <c r="G127" s="54" t="s">
        <v>557</v>
      </c>
      <c r="H127" s="54" t="s">
        <v>554</v>
      </c>
      <c r="I127" s="54" t="s">
        <v>108</v>
      </c>
      <c r="J127" s="54" t="s">
        <v>130</v>
      </c>
      <c r="K127" s="54" t="s">
        <v>110</v>
      </c>
      <c r="L127" s="54" t="s">
        <v>117</v>
      </c>
      <c r="M127" s="3"/>
    </row>
    <row r="128" spans="1:13" hidden="1">
      <c r="A128" s="54">
        <v>127</v>
      </c>
      <c r="B128" s="54" t="s">
        <v>21</v>
      </c>
      <c r="C128" s="54" t="s">
        <v>558</v>
      </c>
      <c r="D128" s="54" t="s">
        <v>559</v>
      </c>
      <c r="E128" s="54" t="s">
        <v>402</v>
      </c>
      <c r="F128" s="56" t="s">
        <v>545</v>
      </c>
      <c r="G128" s="54" t="s">
        <v>310</v>
      </c>
      <c r="H128" s="54" t="s">
        <v>212</v>
      </c>
      <c r="I128" s="54" t="s">
        <v>186</v>
      </c>
      <c r="J128" s="54" t="s">
        <v>187</v>
      </c>
      <c r="K128" s="54"/>
      <c r="L128" s="54" t="s">
        <v>188</v>
      </c>
      <c r="M128" s="3"/>
    </row>
    <row r="129" spans="1:13" hidden="1">
      <c r="A129" s="54">
        <v>128</v>
      </c>
      <c r="B129" s="54" t="s">
        <v>21</v>
      </c>
      <c r="C129" s="54" t="s">
        <v>560</v>
      </c>
      <c r="D129" s="54" t="s">
        <v>561</v>
      </c>
      <c r="E129" s="54" t="s">
        <v>402</v>
      </c>
      <c r="F129" s="56" t="s">
        <v>545</v>
      </c>
      <c r="G129" s="54" t="s">
        <v>540</v>
      </c>
      <c r="H129" s="54" t="s">
        <v>212</v>
      </c>
      <c r="I129" s="54" t="s">
        <v>186</v>
      </c>
      <c r="J129" s="54" t="s">
        <v>187</v>
      </c>
      <c r="K129" s="54"/>
      <c r="L129" s="54" t="s">
        <v>188</v>
      </c>
      <c r="M129" s="3"/>
    </row>
    <row r="130" spans="1:13" hidden="1">
      <c r="A130" s="54">
        <v>129</v>
      </c>
      <c r="B130" s="54" t="s">
        <v>21</v>
      </c>
      <c r="C130" s="54" t="s">
        <v>562</v>
      </c>
      <c r="D130" s="54" t="s">
        <v>563</v>
      </c>
      <c r="E130" s="54" t="s">
        <v>287</v>
      </c>
      <c r="F130" s="54" t="s">
        <v>59</v>
      </c>
      <c r="G130" s="54" t="s">
        <v>557</v>
      </c>
      <c r="H130" s="54" t="s">
        <v>564</v>
      </c>
      <c r="I130" s="54" t="s">
        <v>108</v>
      </c>
      <c r="J130" s="54" t="s">
        <v>130</v>
      </c>
      <c r="K130" s="54" t="s">
        <v>110</v>
      </c>
      <c r="L130" s="54" t="s">
        <v>162</v>
      </c>
      <c r="M130" s="3"/>
    </row>
    <row r="131" spans="1:13" hidden="1">
      <c r="A131" s="54">
        <v>130</v>
      </c>
      <c r="B131" s="54" t="s">
        <v>32</v>
      </c>
      <c r="C131" s="54" t="s">
        <v>565</v>
      </c>
      <c r="D131" s="54" t="s">
        <v>566</v>
      </c>
      <c r="E131" s="54" t="s">
        <v>159</v>
      </c>
      <c r="F131" s="54" t="s">
        <v>60</v>
      </c>
      <c r="G131" s="54" t="s">
        <v>567</v>
      </c>
      <c r="H131" s="54" t="s">
        <v>568</v>
      </c>
      <c r="I131" s="54" t="s">
        <v>135</v>
      </c>
      <c r="J131" s="54" t="s">
        <v>136</v>
      </c>
      <c r="K131" s="54" t="s">
        <v>150</v>
      </c>
      <c r="L131" s="54" t="s">
        <v>117</v>
      </c>
      <c r="M131" s="3"/>
    </row>
    <row r="132" spans="1:13" hidden="1">
      <c r="A132" s="54">
        <v>131</v>
      </c>
      <c r="B132" s="54" t="s">
        <v>32</v>
      </c>
      <c r="C132" s="54" t="s">
        <v>569</v>
      </c>
      <c r="D132" s="54" t="s">
        <v>570</v>
      </c>
      <c r="E132" s="54" t="s">
        <v>571</v>
      </c>
      <c r="F132" s="54" t="s">
        <v>60</v>
      </c>
      <c r="G132" s="54" t="s">
        <v>572</v>
      </c>
      <c r="H132" s="54" t="s">
        <v>573</v>
      </c>
      <c r="I132" s="54" t="s">
        <v>116</v>
      </c>
      <c r="J132" s="54" t="s">
        <v>109</v>
      </c>
      <c r="K132" s="54" t="s">
        <v>110</v>
      </c>
      <c r="L132" s="54" t="s">
        <v>162</v>
      </c>
      <c r="M132" s="3"/>
    </row>
    <row r="133" spans="1:13" hidden="1">
      <c r="A133" s="54">
        <v>132</v>
      </c>
      <c r="B133" s="54" t="s">
        <v>32</v>
      </c>
      <c r="C133" s="54" t="s">
        <v>574</v>
      </c>
      <c r="D133" s="54" t="s">
        <v>575</v>
      </c>
      <c r="E133" s="54" t="s">
        <v>576</v>
      </c>
      <c r="F133" s="54" t="s">
        <v>60</v>
      </c>
      <c r="G133" s="54" t="s">
        <v>577</v>
      </c>
      <c r="H133" s="54" t="s">
        <v>578</v>
      </c>
      <c r="I133" s="54" t="s">
        <v>198</v>
      </c>
      <c r="J133" s="54" t="s">
        <v>108</v>
      </c>
      <c r="K133" s="54" t="s">
        <v>135</v>
      </c>
      <c r="L133" s="54" t="s">
        <v>162</v>
      </c>
      <c r="M133" s="3"/>
    </row>
    <row r="134" spans="1:13" hidden="1">
      <c r="A134" s="54">
        <v>133</v>
      </c>
      <c r="B134" s="54" t="s">
        <v>32</v>
      </c>
      <c r="C134" s="54" t="s">
        <v>579</v>
      </c>
      <c r="D134" s="54" t="s">
        <v>580</v>
      </c>
      <c r="E134" s="54" t="s">
        <v>581</v>
      </c>
      <c r="F134" s="54" t="s">
        <v>60</v>
      </c>
      <c r="G134" s="55"/>
      <c r="H134" s="55"/>
      <c r="I134" s="54"/>
      <c r="J134" s="54"/>
      <c r="K134" s="54"/>
      <c r="L134" s="54" t="s">
        <v>122</v>
      </c>
      <c r="M134" s="3"/>
    </row>
    <row r="135" spans="1:13" hidden="1">
      <c r="A135" s="54">
        <v>134</v>
      </c>
      <c r="B135" s="54" t="s">
        <v>32</v>
      </c>
      <c r="C135" s="54" t="s">
        <v>582</v>
      </c>
      <c r="D135" s="54" t="s">
        <v>583</v>
      </c>
      <c r="E135" s="54" t="s">
        <v>584</v>
      </c>
      <c r="F135" s="54" t="s">
        <v>60</v>
      </c>
      <c r="G135" s="54" t="s">
        <v>572</v>
      </c>
      <c r="H135" s="54" t="s">
        <v>585</v>
      </c>
      <c r="I135" s="54" t="s">
        <v>116</v>
      </c>
      <c r="J135" s="54" t="s">
        <v>109</v>
      </c>
      <c r="K135" s="54" t="s">
        <v>110</v>
      </c>
      <c r="L135" s="54" t="s">
        <v>111</v>
      </c>
      <c r="M135" s="3"/>
    </row>
    <row r="136" spans="1:13" hidden="1">
      <c r="A136" s="54">
        <v>135</v>
      </c>
      <c r="B136" s="54" t="s">
        <v>32</v>
      </c>
      <c r="C136" s="54" t="s">
        <v>586</v>
      </c>
      <c r="D136" s="54" t="s">
        <v>587</v>
      </c>
      <c r="E136" s="54" t="s">
        <v>482</v>
      </c>
      <c r="F136" s="54" t="s">
        <v>60</v>
      </c>
      <c r="G136" s="54" t="s">
        <v>588</v>
      </c>
      <c r="H136" s="54" t="s">
        <v>589</v>
      </c>
      <c r="I136" s="54" t="s">
        <v>135</v>
      </c>
      <c r="J136" s="54" t="s">
        <v>136</v>
      </c>
      <c r="K136" s="54" t="s">
        <v>150</v>
      </c>
      <c r="L136" s="54" t="s">
        <v>162</v>
      </c>
      <c r="M136" s="3"/>
    </row>
    <row r="137" spans="1:13" hidden="1">
      <c r="A137" s="54">
        <v>136</v>
      </c>
      <c r="B137" s="54" t="s">
        <v>32</v>
      </c>
      <c r="C137" s="54" t="s">
        <v>590</v>
      </c>
      <c r="D137" s="54" t="s">
        <v>591</v>
      </c>
      <c r="E137" s="54" t="s">
        <v>226</v>
      </c>
      <c r="F137" s="54" t="s">
        <v>60</v>
      </c>
      <c r="G137" s="54" t="s">
        <v>592</v>
      </c>
      <c r="H137" s="54" t="s">
        <v>593</v>
      </c>
      <c r="I137" s="54" t="s">
        <v>135</v>
      </c>
      <c r="J137" s="54" t="s">
        <v>136</v>
      </c>
      <c r="K137" s="54" t="s">
        <v>150</v>
      </c>
      <c r="L137" s="54" t="s">
        <v>111</v>
      </c>
      <c r="M137" s="3"/>
    </row>
    <row r="138" spans="1:13" hidden="1">
      <c r="A138" s="54">
        <v>137</v>
      </c>
      <c r="B138" s="54" t="s">
        <v>32</v>
      </c>
      <c r="C138" s="54" t="s">
        <v>594</v>
      </c>
      <c r="D138" s="54" t="s">
        <v>595</v>
      </c>
      <c r="E138" s="54" t="s">
        <v>596</v>
      </c>
      <c r="F138" s="54" t="s">
        <v>60</v>
      </c>
      <c r="G138" s="54" t="s">
        <v>597</v>
      </c>
      <c r="H138" s="54" t="s">
        <v>598</v>
      </c>
      <c r="I138" s="54" t="s">
        <v>108</v>
      </c>
      <c r="J138" s="54" t="s">
        <v>130</v>
      </c>
      <c r="K138" s="54" t="s">
        <v>110</v>
      </c>
      <c r="L138" s="54" t="s">
        <v>117</v>
      </c>
      <c r="M138" s="3"/>
    </row>
    <row r="139" spans="1:13" hidden="1">
      <c r="A139" s="54">
        <v>138</v>
      </c>
      <c r="B139" s="54" t="s">
        <v>32</v>
      </c>
      <c r="C139" s="54" t="s">
        <v>599</v>
      </c>
      <c r="D139" s="54" t="s">
        <v>600</v>
      </c>
      <c r="E139" s="54" t="s">
        <v>601</v>
      </c>
      <c r="F139" s="54" t="s">
        <v>60</v>
      </c>
      <c r="G139" s="55"/>
      <c r="H139" s="55"/>
      <c r="I139" s="54"/>
      <c r="J139" s="54"/>
      <c r="K139" s="54"/>
      <c r="L139" s="54" t="s">
        <v>16</v>
      </c>
      <c r="M139" s="3"/>
    </row>
    <row r="140" spans="1:13" hidden="1">
      <c r="A140" s="54">
        <v>139</v>
      </c>
      <c r="B140" s="54" t="s">
        <v>32</v>
      </c>
      <c r="C140" s="54" t="s">
        <v>602</v>
      </c>
      <c r="D140" s="54" t="s">
        <v>603</v>
      </c>
      <c r="E140" s="54" t="s">
        <v>604</v>
      </c>
      <c r="F140" s="54" t="s">
        <v>60</v>
      </c>
      <c r="G140" s="55"/>
      <c r="H140" s="55"/>
      <c r="I140" s="54" t="s">
        <v>186</v>
      </c>
      <c r="J140" s="54" t="s">
        <v>187</v>
      </c>
      <c r="K140" s="54"/>
      <c r="L140" s="54" t="s">
        <v>188</v>
      </c>
      <c r="M140" s="3"/>
    </row>
    <row r="141" spans="1:13" hidden="1">
      <c r="A141" s="54">
        <v>140</v>
      </c>
      <c r="B141" s="54" t="s">
        <v>32</v>
      </c>
      <c r="C141" s="54" t="s">
        <v>605</v>
      </c>
      <c r="D141" s="54" t="s">
        <v>606</v>
      </c>
      <c r="E141" s="54" t="s">
        <v>607</v>
      </c>
      <c r="F141" s="54" t="s">
        <v>60</v>
      </c>
      <c r="G141" s="55"/>
      <c r="H141" s="55"/>
      <c r="I141" s="54" t="s">
        <v>186</v>
      </c>
      <c r="J141" s="54" t="s">
        <v>187</v>
      </c>
      <c r="K141" s="54"/>
      <c r="L141" s="54" t="s">
        <v>188</v>
      </c>
      <c r="M141" s="3"/>
    </row>
    <row r="142" spans="1:13" hidden="1">
      <c r="A142" s="54">
        <v>141</v>
      </c>
      <c r="B142" s="54" t="s">
        <v>32</v>
      </c>
      <c r="C142" s="54" t="s">
        <v>608</v>
      </c>
      <c r="D142" s="54" t="s">
        <v>609</v>
      </c>
      <c r="E142" s="54" t="s">
        <v>610</v>
      </c>
      <c r="F142" s="54" t="s">
        <v>60</v>
      </c>
      <c r="G142" s="54" t="s">
        <v>572</v>
      </c>
      <c r="H142" s="54" t="s">
        <v>585</v>
      </c>
      <c r="I142" s="54"/>
      <c r="J142" s="54"/>
      <c r="K142" s="54"/>
      <c r="L142" s="54" t="s">
        <v>122</v>
      </c>
      <c r="M142" s="3"/>
    </row>
    <row r="143" spans="1:13" hidden="1">
      <c r="A143" s="54">
        <v>142</v>
      </c>
      <c r="B143" s="54" t="s">
        <v>32</v>
      </c>
      <c r="C143" s="54" t="s">
        <v>611</v>
      </c>
      <c r="D143" s="54" t="s">
        <v>612</v>
      </c>
      <c r="E143" s="54" t="s">
        <v>613</v>
      </c>
      <c r="F143" s="54" t="s">
        <v>60</v>
      </c>
      <c r="G143" s="54" t="s">
        <v>223</v>
      </c>
      <c r="H143" s="54" t="s">
        <v>614</v>
      </c>
      <c r="I143" s="54" t="s">
        <v>110</v>
      </c>
      <c r="J143" s="54" t="s">
        <v>250</v>
      </c>
      <c r="K143" s="54" t="s">
        <v>443</v>
      </c>
      <c r="L143" s="54" t="s">
        <v>162</v>
      </c>
      <c r="M143" s="3"/>
    </row>
    <row r="144" spans="1:13" hidden="1">
      <c r="A144" s="54">
        <v>143</v>
      </c>
      <c r="B144" s="54" t="s">
        <v>32</v>
      </c>
      <c r="C144" s="54" t="s">
        <v>615</v>
      </c>
      <c r="D144" s="54" t="s">
        <v>616</v>
      </c>
      <c r="E144" s="54" t="s">
        <v>226</v>
      </c>
      <c r="F144" s="54" t="s">
        <v>60</v>
      </c>
      <c r="G144" s="54" t="s">
        <v>617</v>
      </c>
      <c r="H144" s="54" t="s">
        <v>618</v>
      </c>
      <c r="I144" s="54" t="s">
        <v>135</v>
      </c>
      <c r="J144" s="54" t="s">
        <v>136</v>
      </c>
      <c r="K144" s="54" t="s">
        <v>150</v>
      </c>
      <c r="L144" s="54" t="s">
        <v>111</v>
      </c>
      <c r="M144" s="3"/>
    </row>
    <row r="145" spans="1:28" hidden="1">
      <c r="A145" s="54">
        <v>144</v>
      </c>
      <c r="B145" s="54" t="s">
        <v>25</v>
      </c>
      <c r="C145" s="54" t="s">
        <v>619</v>
      </c>
      <c r="D145" s="54" t="s">
        <v>620</v>
      </c>
      <c r="E145" s="54" t="s">
        <v>276</v>
      </c>
      <c r="F145" s="54" t="s">
        <v>61</v>
      </c>
      <c r="G145" s="55"/>
      <c r="H145" s="55"/>
      <c r="I145" s="55"/>
      <c r="J145" s="54"/>
      <c r="K145" s="54"/>
      <c r="L145" s="54" t="s">
        <v>16</v>
      </c>
      <c r="M145" s="3"/>
    </row>
    <row r="146" spans="1:28" hidden="1">
      <c r="A146" s="54">
        <v>145</v>
      </c>
      <c r="B146" s="54" t="s">
        <v>25</v>
      </c>
      <c r="C146" s="54" t="s">
        <v>621</v>
      </c>
      <c r="D146" s="54" t="s">
        <v>622</v>
      </c>
      <c r="E146" s="54" t="s">
        <v>247</v>
      </c>
      <c r="F146" s="54" t="s">
        <v>61</v>
      </c>
      <c r="G146" s="54" t="s">
        <v>623</v>
      </c>
      <c r="H146" s="54" t="s">
        <v>624</v>
      </c>
      <c r="I146" s="54" t="s">
        <v>108</v>
      </c>
      <c r="J146" s="54" t="s">
        <v>135</v>
      </c>
      <c r="K146" s="54" t="s">
        <v>136</v>
      </c>
      <c r="L146" s="54" t="s">
        <v>111</v>
      </c>
      <c r="M146" s="3"/>
    </row>
    <row r="147" spans="1:28" hidden="1">
      <c r="A147" s="54">
        <v>146</v>
      </c>
      <c r="B147" s="54" t="s">
        <v>25</v>
      </c>
      <c r="C147" s="54" t="s">
        <v>625</v>
      </c>
      <c r="D147" s="54" t="s">
        <v>626</v>
      </c>
      <c r="E147" s="54" t="s">
        <v>627</v>
      </c>
      <c r="F147" s="54" t="s">
        <v>61</v>
      </c>
      <c r="G147" s="54" t="s">
        <v>628</v>
      </c>
      <c r="H147" s="54" t="s">
        <v>629</v>
      </c>
      <c r="I147" s="54" t="s">
        <v>198</v>
      </c>
      <c r="J147" s="54" t="s">
        <v>135</v>
      </c>
      <c r="K147" s="54" t="s">
        <v>136</v>
      </c>
      <c r="L147" s="54" t="s">
        <v>111</v>
      </c>
      <c r="M147" s="3"/>
    </row>
    <row r="148" spans="1:28" hidden="1">
      <c r="A148" s="54">
        <v>147</v>
      </c>
      <c r="B148" s="54" t="s">
        <v>25</v>
      </c>
      <c r="C148" s="54" t="s">
        <v>630</v>
      </c>
      <c r="D148" s="54" t="s">
        <v>631</v>
      </c>
      <c r="E148" s="54" t="s">
        <v>632</v>
      </c>
      <c r="F148" s="54" t="s">
        <v>61</v>
      </c>
      <c r="G148" s="54" t="s">
        <v>633</v>
      </c>
      <c r="H148" s="54" t="s">
        <v>634</v>
      </c>
      <c r="I148" s="54" t="s">
        <v>136</v>
      </c>
      <c r="J148" s="54" t="s">
        <v>200</v>
      </c>
      <c r="K148" s="54" t="s">
        <v>635</v>
      </c>
      <c r="L148" s="54" t="s">
        <v>111</v>
      </c>
      <c r="M148" s="3"/>
    </row>
    <row r="149" spans="1:28" hidden="1">
      <c r="A149" s="54">
        <v>148</v>
      </c>
      <c r="B149" s="54" t="s">
        <v>25</v>
      </c>
      <c r="C149" s="54" t="s">
        <v>636</v>
      </c>
      <c r="D149" s="54" t="s">
        <v>637</v>
      </c>
      <c r="E149" s="54" t="s">
        <v>247</v>
      </c>
      <c r="F149" s="54" t="s">
        <v>61</v>
      </c>
      <c r="G149" s="54" t="s">
        <v>638</v>
      </c>
      <c r="H149" s="54" t="s">
        <v>639</v>
      </c>
      <c r="I149" s="54" t="s">
        <v>186</v>
      </c>
      <c r="J149" s="54" t="s">
        <v>187</v>
      </c>
      <c r="K149" s="54"/>
      <c r="L149" s="54" t="s">
        <v>188</v>
      </c>
      <c r="M149" s="3"/>
    </row>
    <row r="150" spans="1:28" hidden="1">
      <c r="A150" s="54">
        <v>149</v>
      </c>
      <c r="B150" s="54" t="s">
        <v>25</v>
      </c>
      <c r="C150" s="54" t="s">
        <v>640</v>
      </c>
      <c r="D150" s="54" t="s">
        <v>641</v>
      </c>
      <c r="E150" s="54" t="s">
        <v>247</v>
      </c>
      <c r="F150" s="54" t="s">
        <v>61</v>
      </c>
      <c r="G150" s="54" t="s">
        <v>642</v>
      </c>
      <c r="H150" s="54" t="s">
        <v>643</v>
      </c>
      <c r="I150" s="54" t="s">
        <v>108</v>
      </c>
      <c r="J150" s="54" t="s">
        <v>135</v>
      </c>
      <c r="K150" s="54" t="s">
        <v>136</v>
      </c>
      <c r="L150" s="54" t="s">
        <v>162</v>
      </c>
      <c r="M150" s="3"/>
    </row>
    <row r="151" spans="1:28" hidden="1">
      <c r="A151" s="54">
        <v>150</v>
      </c>
      <c r="B151" s="54" t="s">
        <v>25</v>
      </c>
      <c r="C151" s="54" t="s">
        <v>644</v>
      </c>
      <c r="D151" s="54" t="s">
        <v>645</v>
      </c>
      <c r="E151" s="54" t="s">
        <v>276</v>
      </c>
      <c r="F151" s="54" t="s">
        <v>61</v>
      </c>
      <c r="G151" s="54" t="s">
        <v>646</v>
      </c>
      <c r="H151" s="54" t="s">
        <v>237</v>
      </c>
      <c r="I151" s="54" t="s">
        <v>135</v>
      </c>
      <c r="J151" s="54" t="s">
        <v>136</v>
      </c>
      <c r="K151" s="54" t="s">
        <v>150</v>
      </c>
      <c r="L151" s="54" t="s">
        <v>162</v>
      </c>
      <c r="M151" s="3"/>
    </row>
    <row r="152" spans="1:28" hidden="1">
      <c r="A152" s="54">
        <v>151</v>
      </c>
      <c r="B152" s="54" t="s">
        <v>28</v>
      </c>
      <c r="C152" s="54" t="s">
        <v>647</v>
      </c>
      <c r="D152" s="54" t="s">
        <v>648</v>
      </c>
      <c r="E152" s="54" t="s">
        <v>102</v>
      </c>
      <c r="F152" s="54" t="s">
        <v>62</v>
      </c>
      <c r="G152" s="55"/>
      <c r="H152" s="55"/>
      <c r="I152" s="55"/>
      <c r="J152" s="54"/>
      <c r="K152" s="54"/>
      <c r="L152" s="54" t="s">
        <v>122</v>
      </c>
      <c r="M152" s="3"/>
    </row>
    <row r="153" spans="1:28" hidden="1">
      <c r="A153" s="54">
        <v>152</v>
      </c>
      <c r="B153" s="54" t="s">
        <v>28</v>
      </c>
      <c r="C153" s="54" t="s">
        <v>649</v>
      </c>
      <c r="D153" s="54" t="s">
        <v>650</v>
      </c>
      <c r="E153" s="54" t="s">
        <v>366</v>
      </c>
      <c r="F153" s="54" t="s">
        <v>62</v>
      </c>
      <c r="G153" s="54" t="s">
        <v>377</v>
      </c>
      <c r="H153" s="54" t="s">
        <v>651</v>
      </c>
      <c r="I153" s="54" t="s">
        <v>116</v>
      </c>
      <c r="J153" s="54" t="s">
        <v>199</v>
      </c>
      <c r="K153" s="54" t="s">
        <v>110</v>
      </c>
      <c r="L153" s="54" t="s">
        <v>162</v>
      </c>
      <c r="M153" s="3"/>
    </row>
    <row r="154" spans="1:28" hidden="1">
      <c r="A154" s="54">
        <v>153</v>
      </c>
      <c r="B154" s="54" t="s">
        <v>28</v>
      </c>
      <c r="C154" s="54" t="s">
        <v>652</v>
      </c>
      <c r="D154" s="54" t="s">
        <v>653</v>
      </c>
      <c r="E154" s="54" t="s">
        <v>102</v>
      </c>
      <c r="F154" s="54" t="s">
        <v>62</v>
      </c>
      <c r="G154" s="54" t="s">
        <v>654</v>
      </c>
      <c r="H154" s="54" t="s">
        <v>359</v>
      </c>
      <c r="I154" s="54" t="s">
        <v>116</v>
      </c>
      <c r="J154" s="54" t="s">
        <v>199</v>
      </c>
      <c r="K154" s="54" t="s">
        <v>110</v>
      </c>
      <c r="L154" s="54" t="s">
        <v>117</v>
      </c>
      <c r="M154" s="3"/>
    </row>
    <row r="155" spans="1:28" hidden="1">
      <c r="A155" s="54">
        <v>154</v>
      </c>
      <c r="B155" s="54" t="s">
        <v>28</v>
      </c>
      <c r="C155" s="54" t="s">
        <v>655</v>
      </c>
      <c r="D155" s="54" t="s">
        <v>656</v>
      </c>
      <c r="E155" s="54" t="s">
        <v>143</v>
      </c>
      <c r="F155" s="54" t="s">
        <v>62</v>
      </c>
      <c r="G155" s="54" t="s">
        <v>362</v>
      </c>
      <c r="H155" s="54" t="s">
        <v>359</v>
      </c>
      <c r="I155" s="54" t="s">
        <v>186</v>
      </c>
      <c r="J155" s="54" t="s">
        <v>187</v>
      </c>
      <c r="K155" s="54"/>
      <c r="L155" s="54" t="s">
        <v>188</v>
      </c>
      <c r="M155" s="3"/>
    </row>
    <row r="156" spans="1:28" hidden="1">
      <c r="A156" s="54">
        <v>155</v>
      </c>
      <c r="B156" s="54" t="s">
        <v>28</v>
      </c>
      <c r="C156" s="54" t="s">
        <v>657</v>
      </c>
      <c r="D156" s="54" t="s">
        <v>658</v>
      </c>
      <c r="E156" s="54" t="s">
        <v>102</v>
      </c>
      <c r="F156" s="54" t="s">
        <v>62</v>
      </c>
      <c r="G156" s="54" t="s">
        <v>659</v>
      </c>
      <c r="H156" s="54" t="s">
        <v>363</v>
      </c>
      <c r="I156" s="54"/>
      <c r="J156" s="54"/>
      <c r="K156" s="54"/>
      <c r="L156" s="54" t="s">
        <v>122</v>
      </c>
      <c r="M156" s="1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28" hidden="1">
      <c r="A157" s="54">
        <v>156</v>
      </c>
      <c r="B157" s="54" t="s">
        <v>28</v>
      </c>
      <c r="C157" s="54" t="s">
        <v>660</v>
      </c>
      <c r="D157" s="54" t="s">
        <v>661</v>
      </c>
      <c r="E157" s="54" t="s">
        <v>143</v>
      </c>
      <c r="F157" s="54" t="s">
        <v>62</v>
      </c>
      <c r="G157" s="54" t="s">
        <v>659</v>
      </c>
      <c r="H157" s="54" t="s">
        <v>359</v>
      </c>
      <c r="I157" s="54" t="s">
        <v>186</v>
      </c>
      <c r="J157" s="54" t="s">
        <v>187</v>
      </c>
      <c r="K157" s="54"/>
      <c r="L157" s="54" t="s">
        <v>188</v>
      </c>
      <c r="M157" s="3"/>
    </row>
    <row r="158" spans="1:28" hidden="1">
      <c r="A158" s="54">
        <v>157</v>
      </c>
      <c r="B158" s="54" t="s">
        <v>28</v>
      </c>
      <c r="C158" s="54" t="s">
        <v>662</v>
      </c>
      <c r="D158" s="54" t="s">
        <v>663</v>
      </c>
      <c r="E158" s="54" t="s">
        <v>143</v>
      </c>
      <c r="F158" s="54" t="s">
        <v>62</v>
      </c>
      <c r="G158" s="54" t="s">
        <v>654</v>
      </c>
      <c r="H158" s="54" t="s">
        <v>664</v>
      </c>
      <c r="I158" s="54" t="s">
        <v>116</v>
      </c>
      <c r="J158" s="54" t="s">
        <v>199</v>
      </c>
      <c r="K158" s="54" t="s">
        <v>110</v>
      </c>
      <c r="L158" s="54" t="s">
        <v>117</v>
      </c>
      <c r="M158" s="3"/>
    </row>
    <row r="159" spans="1:28" hidden="1">
      <c r="A159" s="54">
        <v>158</v>
      </c>
      <c r="B159" s="54" t="s">
        <v>28</v>
      </c>
      <c r="C159" s="54" t="s">
        <v>665</v>
      </c>
      <c r="D159" s="54" t="s">
        <v>666</v>
      </c>
      <c r="E159" s="54" t="s">
        <v>366</v>
      </c>
      <c r="F159" s="54" t="s">
        <v>62</v>
      </c>
      <c r="G159" s="54" t="s">
        <v>362</v>
      </c>
      <c r="H159" s="54" t="s">
        <v>359</v>
      </c>
      <c r="I159" s="54" t="s">
        <v>199</v>
      </c>
      <c r="J159" s="54" t="s">
        <v>200</v>
      </c>
      <c r="K159" s="54" t="s">
        <v>315</v>
      </c>
      <c r="L159" s="54" t="s">
        <v>117</v>
      </c>
      <c r="M159" s="3"/>
    </row>
    <row r="160" spans="1:28" hidden="1">
      <c r="A160" s="54">
        <v>159</v>
      </c>
      <c r="B160" s="54" t="s">
        <v>28</v>
      </c>
      <c r="C160" s="54" t="s">
        <v>667</v>
      </c>
      <c r="D160" s="54" t="s">
        <v>668</v>
      </c>
      <c r="E160" s="54" t="s">
        <v>143</v>
      </c>
      <c r="F160" s="54" t="s">
        <v>62</v>
      </c>
      <c r="G160" s="54" t="s">
        <v>654</v>
      </c>
      <c r="H160" s="54" t="s">
        <v>664</v>
      </c>
      <c r="I160" s="54" t="s">
        <v>116</v>
      </c>
      <c r="J160" s="54" t="s">
        <v>199</v>
      </c>
      <c r="K160" s="54" t="s">
        <v>110</v>
      </c>
      <c r="L160" s="54" t="s">
        <v>117</v>
      </c>
      <c r="M160" s="3"/>
    </row>
    <row r="161" spans="1:13" hidden="1">
      <c r="A161" s="54">
        <v>160</v>
      </c>
      <c r="B161" s="54" t="s">
        <v>28</v>
      </c>
      <c r="C161" s="54" t="s">
        <v>669</v>
      </c>
      <c r="D161" s="54" t="s">
        <v>670</v>
      </c>
      <c r="E161" s="54" t="s">
        <v>143</v>
      </c>
      <c r="F161" s="54" t="s">
        <v>62</v>
      </c>
      <c r="G161" s="54" t="s">
        <v>358</v>
      </c>
      <c r="H161" s="54" t="s">
        <v>374</v>
      </c>
      <c r="I161" s="54"/>
      <c r="J161" s="54"/>
      <c r="K161" s="54"/>
      <c r="L161" s="54" t="s">
        <v>122</v>
      </c>
      <c r="M161" s="3"/>
    </row>
    <row r="162" spans="1:13" hidden="1">
      <c r="A162" s="54">
        <v>161</v>
      </c>
      <c r="B162" s="54" t="s">
        <v>27</v>
      </c>
      <c r="C162" s="54" t="s">
        <v>671</v>
      </c>
      <c r="D162" s="54" t="s">
        <v>672</v>
      </c>
      <c r="E162" s="54" t="s">
        <v>143</v>
      </c>
      <c r="F162" s="54" t="s">
        <v>63</v>
      </c>
      <c r="G162" s="54" t="s">
        <v>673</v>
      </c>
      <c r="H162" s="54" t="s">
        <v>307</v>
      </c>
      <c r="I162" s="54" t="s">
        <v>198</v>
      </c>
      <c r="J162" s="54" t="s">
        <v>199</v>
      </c>
      <c r="K162" s="54" t="s">
        <v>200</v>
      </c>
      <c r="L162" s="54" t="s">
        <v>298</v>
      </c>
      <c r="M162" s="3"/>
    </row>
    <row r="163" spans="1:13" hidden="1">
      <c r="A163" s="54">
        <v>162</v>
      </c>
      <c r="B163" s="54" t="s">
        <v>27</v>
      </c>
      <c r="C163" s="54" t="s">
        <v>674</v>
      </c>
      <c r="D163" s="54" t="s">
        <v>675</v>
      </c>
      <c r="E163" s="54" t="s">
        <v>143</v>
      </c>
      <c r="F163" s="54" t="s">
        <v>63</v>
      </c>
      <c r="G163" s="54" t="s">
        <v>336</v>
      </c>
      <c r="H163" s="54" t="s">
        <v>329</v>
      </c>
      <c r="I163" s="54"/>
      <c r="J163" s="54"/>
      <c r="K163" s="54"/>
      <c r="L163" s="54" t="s">
        <v>321</v>
      </c>
      <c r="M163" s="3"/>
    </row>
    <row r="164" spans="1:13" hidden="1">
      <c r="A164" s="54">
        <v>163</v>
      </c>
      <c r="B164" s="54" t="s">
        <v>27</v>
      </c>
      <c r="C164" s="54" t="s">
        <v>676</v>
      </c>
      <c r="D164" s="54" t="s">
        <v>677</v>
      </c>
      <c r="E164" s="54" t="s">
        <v>678</v>
      </c>
      <c r="F164" s="54" t="s">
        <v>63</v>
      </c>
      <c r="G164" s="54" t="s">
        <v>211</v>
      </c>
      <c r="H164" s="54" t="s">
        <v>679</v>
      </c>
      <c r="I164" s="54"/>
      <c r="J164" s="54"/>
      <c r="K164" s="54"/>
      <c r="L164" s="54" t="s">
        <v>304</v>
      </c>
      <c r="M164" s="3"/>
    </row>
    <row r="165" spans="1:13" hidden="1">
      <c r="A165" s="54">
        <v>164</v>
      </c>
      <c r="B165" s="54" t="s">
        <v>27</v>
      </c>
      <c r="C165" s="54" t="s">
        <v>680</v>
      </c>
      <c r="D165" s="54" t="s">
        <v>681</v>
      </c>
      <c r="E165" s="54" t="s">
        <v>143</v>
      </c>
      <c r="F165" s="54" t="s">
        <v>63</v>
      </c>
      <c r="G165" s="54" t="s">
        <v>682</v>
      </c>
      <c r="H165" s="54" t="s">
        <v>329</v>
      </c>
      <c r="I165" s="54" t="s">
        <v>108</v>
      </c>
      <c r="J165" s="54" t="s">
        <v>109</v>
      </c>
      <c r="K165" s="54" t="s">
        <v>110</v>
      </c>
      <c r="L165" s="54" t="s">
        <v>298</v>
      </c>
      <c r="M165" s="3"/>
    </row>
    <row r="166" spans="1:13" hidden="1">
      <c r="A166" s="54">
        <v>165</v>
      </c>
      <c r="B166" s="54" t="s">
        <v>27</v>
      </c>
      <c r="C166" s="54" t="s">
        <v>683</v>
      </c>
      <c r="D166" s="54" t="s">
        <v>684</v>
      </c>
      <c r="E166" s="54" t="s">
        <v>143</v>
      </c>
      <c r="F166" s="54" t="s">
        <v>63</v>
      </c>
      <c r="G166" s="54" t="s">
        <v>211</v>
      </c>
      <c r="H166" s="54" t="s">
        <v>359</v>
      </c>
      <c r="I166" s="54"/>
      <c r="J166" s="54"/>
      <c r="K166" s="54"/>
      <c r="L166" s="54" t="s">
        <v>304</v>
      </c>
      <c r="M166" s="3"/>
    </row>
    <row r="167" spans="1:13" hidden="1">
      <c r="A167" s="54">
        <v>166</v>
      </c>
      <c r="B167" s="54" t="s">
        <v>25</v>
      </c>
      <c r="C167" s="54" t="s">
        <v>685</v>
      </c>
      <c r="D167" s="54" t="s">
        <v>686</v>
      </c>
      <c r="E167" s="54" t="s">
        <v>226</v>
      </c>
      <c r="F167" s="54" t="s">
        <v>64</v>
      </c>
      <c r="G167" s="54" t="s">
        <v>687</v>
      </c>
      <c r="H167" s="54" t="s">
        <v>688</v>
      </c>
      <c r="I167" s="54" t="s">
        <v>108</v>
      </c>
      <c r="J167" s="54" t="s">
        <v>109</v>
      </c>
      <c r="K167" s="54" t="s">
        <v>110</v>
      </c>
      <c r="L167" s="54" t="s">
        <v>162</v>
      </c>
      <c r="M167" s="3"/>
    </row>
    <row r="168" spans="1:13">
      <c r="A168" s="54">
        <v>167</v>
      </c>
      <c r="B168" s="54" t="s">
        <v>25</v>
      </c>
      <c r="C168" s="54" t="s">
        <v>689</v>
      </c>
      <c r="D168" s="54" t="s">
        <v>690</v>
      </c>
      <c r="E168" s="54" t="s">
        <v>226</v>
      </c>
      <c r="F168" s="54" t="s">
        <v>64</v>
      </c>
      <c r="G168" s="55"/>
      <c r="H168" s="55"/>
      <c r="I168" s="55"/>
      <c r="J168" s="54"/>
      <c r="K168" s="54"/>
      <c r="L168" s="54" t="s">
        <v>12</v>
      </c>
      <c r="M168" s="3"/>
    </row>
    <row r="169" spans="1:13" hidden="1">
      <c r="A169" s="54">
        <v>168</v>
      </c>
      <c r="B169" s="54" t="s">
        <v>25</v>
      </c>
      <c r="C169" s="54" t="s">
        <v>691</v>
      </c>
      <c r="D169" s="54" t="s">
        <v>692</v>
      </c>
      <c r="E169" s="54" t="s">
        <v>276</v>
      </c>
      <c r="F169" s="54" t="s">
        <v>64</v>
      </c>
      <c r="G169" s="54" t="s">
        <v>693</v>
      </c>
      <c r="H169" s="54" t="s">
        <v>694</v>
      </c>
      <c r="I169" s="54" t="s">
        <v>116</v>
      </c>
      <c r="J169" s="54" t="s">
        <v>109</v>
      </c>
      <c r="K169" s="54" t="s">
        <v>110</v>
      </c>
      <c r="L169" s="54" t="s">
        <v>117</v>
      </c>
      <c r="M169" s="3"/>
    </row>
    <row r="170" spans="1:13" hidden="1">
      <c r="A170" s="54">
        <v>169</v>
      </c>
      <c r="B170" s="54" t="s">
        <v>25</v>
      </c>
      <c r="C170" s="54" t="s">
        <v>695</v>
      </c>
      <c r="D170" s="54" t="s">
        <v>696</v>
      </c>
      <c r="E170" s="54" t="s">
        <v>697</v>
      </c>
      <c r="F170" s="54" t="s">
        <v>64</v>
      </c>
      <c r="G170" s="55"/>
      <c r="H170" s="55"/>
      <c r="I170" s="54" t="s">
        <v>186</v>
      </c>
      <c r="J170" s="54" t="s">
        <v>187</v>
      </c>
      <c r="K170" s="54"/>
      <c r="L170" s="54" t="s">
        <v>188</v>
      </c>
      <c r="M170" s="3"/>
    </row>
    <row r="171" spans="1:13">
      <c r="A171" s="54">
        <v>170</v>
      </c>
      <c r="B171" s="54" t="s">
        <v>25</v>
      </c>
      <c r="C171" s="54" t="s">
        <v>698</v>
      </c>
      <c r="D171" s="54" t="s">
        <v>699</v>
      </c>
      <c r="E171" s="54" t="s">
        <v>276</v>
      </c>
      <c r="F171" s="54" t="s">
        <v>64</v>
      </c>
      <c r="G171" s="55"/>
      <c r="H171" s="55"/>
      <c r="I171" s="55"/>
      <c r="J171" s="54"/>
      <c r="K171" s="54"/>
      <c r="L171" s="54" t="s">
        <v>12</v>
      </c>
      <c r="M171" s="3"/>
    </row>
    <row r="172" spans="1:13" hidden="1">
      <c r="A172" s="54">
        <v>171</v>
      </c>
      <c r="B172" s="54" t="s">
        <v>25</v>
      </c>
      <c r="C172" s="54" t="s">
        <v>700</v>
      </c>
      <c r="D172" s="54" t="s">
        <v>701</v>
      </c>
      <c r="E172" s="54" t="s">
        <v>276</v>
      </c>
      <c r="F172" s="54" t="s">
        <v>64</v>
      </c>
      <c r="G172" s="55"/>
      <c r="H172" s="55"/>
      <c r="I172" s="55"/>
      <c r="J172" s="54"/>
      <c r="K172" s="54"/>
      <c r="L172" s="54" t="s">
        <v>122</v>
      </c>
      <c r="M172" s="3"/>
    </row>
    <row r="173" spans="1:13" hidden="1">
      <c r="A173" s="54">
        <v>172</v>
      </c>
      <c r="B173" s="54" t="s">
        <v>25</v>
      </c>
      <c r="C173" s="54" t="s">
        <v>702</v>
      </c>
      <c r="D173" s="54" t="s">
        <v>703</v>
      </c>
      <c r="E173" s="54" t="s">
        <v>276</v>
      </c>
      <c r="F173" s="54" t="s">
        <v>64</v>
      </c>
      <c r="G173" s="54" t="s">
        <v>704</v>
      </c>
      <c r="H173" s="54" t="s">
        <v>634</v>
      </c>
      <c r="I173" s="54" t="s">
        <v>135</v>
      </c>
      <c r="J173" s="54" t="s">
        <v>136</v>
      </c>
      <c r="K173" s="54" t="s">
        <v>150</v>
      </c>
      <c r="L173" s="54" t="s">
        <v>162</v>
      </c>
      <c r="M173" s="3"/>
    </row>
    <row r="174" spans="1:13">
      <c r="A174" s="54">
        <v>173</v>
      </c>
      <c r="B174" s="54" t="s">
        <v>25</v>
      </c>
      <c r="C174" s="54" t="s">
        <v>705</v>
      </c>
      <c r="D174" s="54" t="s">
        <v>706</v>
      </c>
      <c r="E174" s="54" t="s">
        <v>231</v>
      </c>
      <c r="F174" s="54" t="s">
        <v>64</v>
      </c>
      <c r="G174" s="55"/>
      <c r="H174" s="55"/>
      <c r="I174" s="55"/>
      <c r="J174" s="54"/>
      <c r="K174" s="54"/>
      <c r="L174" s="54" t="s">
        <v>12</v>
      </c>
      <c r="M174" s="3"/>
    </row>
    <row r="175" spans="1:13" hidden="1">
      <c r="A175" s="54">
        <v>174</v>
      </c>
      <c r="B175" s="54" t="s">
        <v>25</v>
      </c>
      <c r="C175" s="54" t="s">
        <v>707</v>
      </c>
      <c r="D175" s="54" t="s">
        <v>708</v>
      </c>
      <c r="E175" s="54" t="s">
        <v>276</v>
      </c>
      <c r="F175" s="54" t="s">
        <v>64</v>
      </c>
      <c r="G175" s="54" t="s">
        <v>709</v>
      </c>
      <c r="H175" s="54" t="s">
        <v>710</v>
      </c>
      <c r="I175" s="54" t="s">
        <v>108</v>
      </c>
      <c r="J175" s="54" t="s">
        <v>109</v>
      </c>
      <c r="K175" s="54" t="s">
        <v>110</v>
      </c>
      <c r="L175" s="54" t="s">
        <v>293</v>
      </c>
      <c r="M175" s="3"/>
    </row>
    <row r="176" spans="1:13">
      <c r="A176" s="54">
        <v>175</v>
      </c>
      <c r="B176" s="54" t="s">
        <v>25</v>
      </c>
      <c r="C176" s="54" t="s">
        <v>711</v>
      </c>
      <c r="D176" s="54" t="s">
        <v>712</v>
      </c>
      <c r="E176" s="54" t="s">
        <v>713</v>
      </c>
      <c r="F176" s="54" t="s">
        <v>64</v>
      </c>
      <c r="G176" s="55"/>
      <c r="H176" s="55"/>
      <c r="I176" s="55"/>
      <c r="J176" s="54"/>
      <c r="K176" s="54"/>
      <c r="L176" s="54" t="s">
        <v>12</v>
      </c>
      <c r="M176" s="3"/>
    </row>
    <row r="177" spans="1:13" hidden="1">
      <c r="A177" s="54">
        <v>176</v>
      </c>
      <c r="B177" s="54" t="s">
        <v>25</v>
      </c>
      <c r="C177" s="54" t="s">
        <v>714</v>
      </c>
      <c r="D177" s="54" t="s">
        <v>715</v>
      </c>
      <c r="E177" s="54" t="s">
        <v>276</v>
      </c>
      <c r="F177" s="54" t="s">
        <v>64</v>
      </c>
      <c r="G177" s="54" t="s">
        <v>716</v>
      </c>
      <c r="H177" s="54" t="s">
        <v>237</v>
      </c>
      <c r="I177" s="54" t="s">
        <v>186</v>
      </c>
      <c r="J177" s="54" t="s">
        <v>187</v>
      </c>
      <c r="K177" s="54"/>
      <c r="L177" s="54" t="s">
        <v>188</v>
      </c>
      <c r="M177" s="3"/>
    </row>
    <row r="178" spans="1:13" hidden="1">
      <c r="A178" s="54">
        <v>177</v>
      </c>
      <c r="B178" s="54" t="s">
        <v>25</v>
      </c>
      <c r="C178" s="54" t="s">
        <v>717</v>
      </c>
      <c r="D178" s="54" t="s">
        <v>718</v>
      </c>
      <c r="E178" s="54" t="s">
        <v>276</v>
      </c>
      <c r="F178" s="54" t="s">
        <v>64</v>
      </c>
      <c r="G178" s="54" t="s">
        <v>687</v>
      </c>
      <c r="H178" s="54" t="s">
        <v>719</v>
      </c>
      <c r="I178" s="54" t="s">
        <v>108</v>
      </c>
      <c r="J178" s="54" t="s">
        <v>109</v>
      </c>
      <c r="K178" s="54" t="s">
        <v>110</v>
      </c>
      <c r="L178" s="54" t="s">
        <v>117</v>
      </c>
      <c r="M178" s="3"/>
    </row>
    <row r="179" spans="1:13" hidden="1">
      <c r="A179" s="54">
        <v>178</v>
      </c>
      <c r="B179" s="54" t="s">
        <v>25</v>
      </c>
      <c r="C179" s="54" t="s">
        <v>720</v>
      </c>
      <c r="D179" s="54" t="s">
        <v>721</v>
      </c>
      <c r="E179" s="54" t="s">
        <v>276</v>
      </c>
      <c r="F179" s="54" t="s">
        <v>64</v>
      </c>
      <c r="G179" s="54" t="s">
        <v>354</v>
      </c>
      <c r="H179" s="54" t="s">
        <v>307</v>
      </c>
      <c r="I179" s="54" t="s">
        <v>108</v>
      </c>
      <c r="J179" s="54" t="s">
        <v>135</v>
      </c>
      <c r="K179" s="54" t="s">
        <v>136</v>
      </c>
      <c r="L179" s="54" t="s">
        <v>117</v>
      </c>
      <c r="M179" s="3"/>
    </row>
    <row r="180" spans="1:13" hidden="1">
      <c r="A180" s="54">
        <v>179</v>
      </c>
      <c r="B180" s="54" t="s">
        <v>25</v>
      </c>
      <c r="C180" s="54" t="s">
        <v>722</v>
      </c>
      <c r="D180" s="54" t="s">
        <v>723</v>
      </c>
      <c r="E180" s="54" t="s">
        <v>276</v>
      </c>
      <c r="F180" s="54" t="s">
        <v>64</v>
      </c>
      <c r="G180" s="54" t="s">
        <v>244</v>
      </c>
      <c r="H180" s="54" t="s">
        <v>724</v>
      </c>
      <c r="I180" s="54" t="s">
        <v>135</v>
      </c>
      <c r="J180" s="54" t="s">
        <v>136</v>
      </c>
      <c r="K180" s="54" t="s">
        <v>150</v>
      </c>
      <c r="L180" s="54" t="s">
        <v>111</v>
      </c>
      <c r="M180" s="3"/>
    </row>
    <row r="181" spans="1:13" hidden="1">
      <c r="A181" s="54">
        <v>180</v>
      </c>
      <c r="B181" s="54" t="s">
        <v>25</v>
      </c>
      <c r="C181" s="54" t="s">
        <v>725</v>
      </c>
      <c r="D181" s="54" t="s">
        <v>726</v>
      </c>
      <c r="E181" s="54" t="s">
        <v>231</v>
      </c>
      <c r="F181" s="54" t="s">
        <v>64</v>
      </c>
      <c r="G181" s="55"/>
      <c r="H181" s="55"/>
      <c r="I181" s="55"/>
      <c r="J181" s="54"/>
      <c r="K181" s="54"/>
      <c r="L181" s="54" t="s">
        <v>16</v>
      </c>
      <c r="M181" s="3"/>
    </row>
    <row r="182" spans="1:13">
      <c r="A182" s="54">
        <v>181</v>
      </c>
      <c r="B182" s="54" t="s">
        <v>25</v>
      </c>
      <c r="C182" s="54" t="s">
        <v>727</v>
      </c>
      <c r="D182" s="54" t="s">
        <v>728</v>
      </c>
      <c r="E182" s="54" t="s">
        <v>276</v>
      </c>
      <c r="F182" s="54" t="s">
        <v>64</v>
      </c>
      <c r="G182" s="55"/>
      <c r="H182" s="55"/>
      <c r="I182" s="55"/>
      <c r="J182" s="54"/>
      <c r="K182" s="54"/>
      <c r="L182" s="54" t="s">
        <v>12</v>
      </c>
      <c r="M182" s="3"/>
    </row>
    <row r="183" spans="1:13" hidden="1">
      <c r="A183" s="54">
        <v>182</v>
      </c>
      <c r="B183" s="54" t="s">
        <v>25</v>
      </c>
      <c r="C183" s="54" t="s">
        <v>729</v>
      </c>
      <c r="D183" s="54" t="s">
        <v>730</v>
      </c>
      <c r="E183" s="54" t="s">
        <v>731</v>
      </c>
      <c r="F183" s="54" t="s">
        <v>64</v>
      </c>
      <c r="G183" s="54" t="s">
        <v>732</v>
      </c>
      <c r="H183" s="54" t="s">
        <v>733</v>
      </c>
      <c r="I183" s="54" t="s">
        <v>136</v>
      </c>
      <c r="J183" s="54" t="s">
        <v>200</v>
      </c>
      <c r="K183" s="54" t="s">
        <v>635</v>
      </c>
      <c r="L183" s="54" t="s">
        <v>111</v>
      </c>
      <c r="M183" s="3"/>
    </row>
    <row r="184" spans="1:13" hidden="1">
      <c r="A184" s="54">
        <v>183</v>
      </c>
      <c r="B184" s="54" t="s">
        <v>25</v>
      </c>
      <c r="C184" s="54" t="s">
        <v>734</v>
      </c>
      <c r="D184" s="54" t="s">
        <v>735</v>
      </c>
      <c r="E184" s="54" t="s">
        <v>736</v>
      </c>
      <c r="F184" s="54" t="s">
        <v>64</v>
      </c>
      <c r="G184" s="54" t="s">
        <v>737</v>
      </c>
      <c r="H184" s="54" t="s">
        <v>107</v>
      </c>
      <c r="I184" s="54" t="s">
        <v>108</v>
      </c>
      <c r="J184" s="54" t="s">
        <v>135</v>
      </c>
      <c r="K184" s="54" t="s">
        <v>136</v>
      </c>
      <c r="L184" s="54" t="s">
        <v>117</v>
      </c>
      <c r="M184" s="3"/>
    </row>
    <row r="185" spans="1:13" hidden="1">
      <c r="A185" s="54">
        <v>184</v>
      </c>
      <c r="B185" s="54" t="s">
        <v>25</v>
      </c>
      <c r="C185" s="54" t="s">
        <v>738</v>
      </c>
      <c r="D185" s="54" t="s">
        <v>739</v>
      </c>
      <c r="E185" s="54" t="s">
        <v>226</v>
      </c>
      <c r="F185" s="54" t="s">
        <v>65</v>
      </c>
      <c r="G185" s="55"/>
      <c r="H185" s="55"/>
      <c r="I185" s="55"/>
      <c r="J185" s="55"/>
      <c r="K185" s="54"/>
      <c r="L185" s="54" t="s">
        <v>122</v>
      </c>
      <c r="M185" s="3"/>
    </row>
    <row r="186" spans="1:13" hidden="1">
      <c r="A186" s="54">
        <v>185</v>
      </c>
      <c r="B186" s="54" t="s">
        <v>25</v>
      </c>
      <c r="C186" s="54" t="s">
        <v>740</v>
      </c>
      <c r="D186" s="54" t="s">
        <v>741</v>
      </c>
      <c r="E186" s="54" t="s">
        <v>742</v>
      </c>
      <c r="F186" s="54" t="s">
        <v>65</v>
      </c>
      <c r="G186" s="54" t="s">
        <v>743</v>
      </c>
      <c r="H186" s="54" t="s">
        <v>292</v>
      </c>
      <c r="I186" s="54" t="s">
        <v>108</v>
      </c>
      <c r="J186" s="54" t="s">
        <v>130</v>
      </c>
      <c r="K186" s="54" t="s">
        <v>110</v>
      </c>
      <c r="L186" s="54" t="s">
        <v>117</v>
      </c>
      <c r="M186" s="3"/>
    </row>
    <row r="187" spans="1:13" hidden="1">
      <c r="A187" s="54">
        <v>186</v>
      </c>
      <c r="B187" s="54" t="s">
        <v>25</v>
      </c>
      <c r="C187" s="54" t="s">
        <v>744</v>
      </c>
      <c r="D187" s="54" t="s">
        <v>745</v>
      </c>
      <c r="E187" s="54" t="s">
        <v>231</v>
      </c>
      <c r="F187" s="54" t="s">
        <v>65</v>
      </c>
      <c r="G187" s="54" t="s">
        <v>222</v>
      </c>
      <c r="H187" s="54" t="s">
        <v>307</v>
      </c>
      <c r="I187" s="54"/>
      <c r="J187" s="54"/>
      <c r="K187" s="54"/>
      <c r="L187" s="54" t="s">
        <v>122</v>
      </c>
      <c r="M187" s="3"/>
    </row>
    <row r="188" spans="1:13" hidden="1">
      <c r="A188" s="54">
        <v>187</v>
      </c>
      <c r="B188" s="54" t="s">
        <v>25</v>
      </c>
      <c r="C188" s="54" t="s">
        <v>746</v>
      </c>
      <c r="D188" s="54" t="s">
        <v>747</v>
      </c>
      <c r="E188" s="54" t="s">
        <v>226</v>
      </c>
      <c r="F188" s="54" t="s">
        <v>65</v>
      </c>
      <c r="G188" s="54" t="s">
        <v>748</v>
      </c>
      <c r="H188" s="54" t="s">
        <v>749</v>
      </c>
      <c r="I188" s="54" t="s">
        <v>116</v>
      </c>
      <c r="J188" s="54" t="s">
        <v>199</v>
      </c>
      <c r="K188" s="54" t="s">
        <v>110</v>
      </c>
      <c r="L188" s="54" t="s">
        <v>117</v>
      </c>
      <c r="M188" s="3"/>
    </row>
    <row r="189" spans="1:13" hidden="1">
      <c r="A189" s="54">
        <v>188</v>
      </c>
      <c r="B189" s="54" t="s">
        <v>25</v>
      </c>
      <c r="C189" s="54" t="s">
        <v>750</v>
      </c>
      <c r="D189" s="54" t="s">
        <v>751</v>
      </c>
      <c r="E189" s="54" t="s">
        <v>752</v>
      </c>
      <c r="F189" s="54" t="s">
        <v>65</v>
      </c>
      <c r="G189" s="55"/>
      <c r="H189" s="55"/>
      <c r="I189" s="55"/>
      <c r="J189" s="55"/>
      <c r="K189" s="54"/>
      <c r="L189" s="54" t="s">
        <v>16</v>
      </c>
      <c r="M189" s="3"/>
    </row>
    <row r="190" spans="1:13" hidden="1">
      <c r="A190" s="54">
        <v>189</v>
      </c>
      <c r="B190" s="54" t="s">
        <v>25</v>
      </c>
      <c r="C190" s="54" t="s">
        <v>753</v>
      </c>
      <c r="D190" s="54" t="s">
        <v>754</v>
      </c>
      <c r="E190" s="54" t="s">
        <v>226</v>
      </c>
      <c r="F190" s="54" t="s">
        <v>65</v>
      </c>
      <c r="G190" s="54" t="s">
        <v>755</v>
      </c>
      <c r="H190" s="54" t="s">
        <v>756</v>
      </c>
      <c r="I190" s="54" t="s">
        <v>198</v>
      </c>
      <c r="J190" s="54" t="s">
        <v>135</v>
      </c>
      <c r="K190" s="54" t="s">
        <v>136</v>
      </c>
      <c r="L190" s="54" t="s">
        <v>293</v>
      </c>
      <c r="M190" s="3"/>
    </row>
    <row r="191" spans="1:13" hidden="1">
      <c r="A191" s="54">
        <v>190</v>
      </c>
      <c r="B191" s="54" t="s">
        <v>32</v>
      </c>
      <c r="C191" s="54" t="s">
        <v>757</v>
      </c>
      <c r="D191" s="54" t="s">
        <v>758</v>
      </c>
      <c r="E191" s="54" t="s">
        <v>226</v>
      </c>
      <c r="F191" s="54" t="s">
        <v>66</v>
      </c>
      <c r="G191" s="54" t="s">
        <v>755</v>
      </c>
      <c r="H191" s="54" t="s">
        <v>241</v>
      </c>
      <c r="I191" s="54" t="s">
        <v>135</v>
      </c>
      <c r="J191" s="54" t="s">
        <v>136</v>
      </c>
      <c r="K191" s="54" t="s">
        <v>150</v>
      </c>
      <c r="L191" s="54" t="s">
        <v>111</v>
      </c>
      <c r="M191" s="3"/>
    </row>
    <row r="192" spans="1:13">
      <c r="A192" s="54">
        <v>191</v>
      </c>
      <c r="B192" s="54" t="s">
        <v>32</v>
      </c>
      <c r="C192" s="54" t="s">
        <v>759</v>
      </c>
      <c r="D192" s="54" t="s">
        <v>760</v>
      </c>
      <c r="E192" s="54" t="s">
        <v>226</v>
      </c>
      <c r="F192" s="54" t="s">
        <v>66</v>
      </c>
      <c r="G192" s="55"/>
      <c r="H192" s="55"/>
      <c r="I192" s="55"/>
      <c r="J192" s="55"/>
      <c r="K192" s="54"/>
      <c r="L192" s="54" t="s">
        <v>12</v>
      </c>
      <c r="M192" s="3"/>
    </row>
    <row r="193" spans="1:13" hidden="1">
      <c r="A193" s="54">
        <v>192</v>
      </c>
      <c r="B193" s="54" t="s">
        <v>32</v>
      </c>
      <c r="C193" s="54" t="s">
        <v>761</v>
      </c>
      <c r="D193" s="54" t="s">
        <v>762</v>
      </c>
      <c r="E193" s="54" t="s">
        <v>231</v>
      </c>
      <c r="F193" s="54" t="s">
        <v>66</v>
      </c>
      <c r="G193" s="54" t="s">
        <v>763</v>
      </c>
      <c r="H193" s="54" t="s">
        <v>643</v>
      </c>
      <c r="I193" s="54" t="s">
        <v>108</v>
      </c>
      <c r="J193" s="54" t="s">
        <v>135</v>
      </c>
      <c r="K193" s="54" t="s">
        <v>136</v>
      </c>
      <c r="L193" s="54" t="s">
        <v>162</v>
      </c>
      <c r="M193" s="3"/>
    </row>
    <row r="194" spans="1:13" hidden="1">
      <c r="A194" s="54">
        <v>193</v>
      </c>
      <c r="B194" s="54" t="s">
        <v>32</v>
      </c>
      <c r="C194" s="54" t="s">
        <v>764</v>
      </c>
      <c r="D194" s="54" t="s">
        <v>765</v>
      </c>
      <c r="E194" s="54" t="s">
        <v>713</v>
      </c>
      <c r="F194" s="54" t="s">
        <v>66</v>
      </c>
      <c r="G194" s="54" t="s">
        <v>766</v>
      </c>
      <c r="H194" s="54" t="s">
        <v>767</v>
      </c>
      <c r="I194" s="54"/>
      <c r="J194" s="54"/>
      <c r="K194" s="54"/>
      <c r="L194" s="54" t="s">
        <v>16</v>
      </c>
      <c r="M194" s="3"/>
    </row>
    <row r="195" spans="1:13" hidden="1">
      <c r="A195" s="54">
        <v>194</v>
      </c>
      <c r="B195" s="54" t="s">
        <v>32</v>
      </c>
      <c r="C195" s="54" t="s">
        <v>768</v>
      </c>
      <c r="D195" s="54" t="s">
        <v>769</v>
      </c>
      <c r="E195" s="54" t="s">
        <v>697</v>
      </c>
      <c r="F195" s="54" t="s">
        <v>66</v>
      </c>
      <c r="G195" s="54" t="s">
        <v>770</v>
      </c>
      <c r="H195" s="54" t="s">
        <v>284</v>
      </c>
      <c r="I195" s="54" t="s">
        <v>108</v>
      </c>
      <c r="J195" s="54" t="s">
        <v>109</v>
      </c>
      <c r="K195" s="54" t="s">
        <v>110</v>
      </c>
      <c r="L195" s="54" t="s">
        <v>162</v>
      </c>
      <c r="M195" s="3"/>
    </row>
    <row r="196" spans="1:13" hidden="1">
      <c r="A196" s="54">
        <v>195</v>
      </c>
      <c r="B196" s="54" t="s">
        <v>32</v>
      </c>
      <c r="C196" s="54" t="s">
        <v>771</v>
      </c>
      <c r="D196" s="54" t="s">
        <v>772</v>
      </c>
      <c r="E196" s="54" t="s">
        <v>276</v>
      </c>
      <c r="F196" s="54" t="s">
        <v>66</v>
      </c>
      <c r="G196" s="55"/>
      <c r="H196" s="55"/>
      <c r="I196" s="55"/>
      <c r="J196" s="55"/>
      <c r="K196" s="54"/>
      <c r="L196" s="54" t="s">
        <v>122</v>
      </c>
      <c r="M196" s="3"/>
    </row>
    <row r="197" spans="1:13" hidden="1">
      <c r="A197" s="54">
        <v>196</v>
      </c>
      <c r="B197" s="54" t="s">
        <v>25</v>
      </c>
      <c r="C197" s="54" t="s">
        <v>773</v>
      </c>
      <c r="D197" s="54" t="s">
        <v>774</v>
      </c>
      <c r="E197" s="54" t="s">
        <v>276</v>
      </c>
      <c r="F197" s="54" t="s">
        <v>67</v>
      </c>
      <c r="G197" s="55"/>
      <c r="H197" s="55"/>
      <c r="I197" s="55"/>
      <c r="J197" s="55"/>
      <c r="K197" s="55"/>
      <c r="L197" s="54" t="s">
        <v>16</v>
      </c>
      <c r="M197" s="3"/>
    </row>
    <row r="198" spans="1:13" hidden="1">
      <c r="A198" s="54">
        <v>197</v>
      </c>
      <c r="B198" s="54" t="s">
        <v>25</v>
      </c>
      <c r="C198" s="54" t="s">
        <v>775</v>
      </c>
      <c r="D198" s="54" t="s">
        <v>776</v>
      </c>
      <c r="E198" s="54" t="s">
        <v>777</v>
      </c>
      <c r="F198" s="54" t="s">
        <v>67</v>
      </c>
      <c r="G198" s="55"/>
      <c r="H198" s="55"/>
      <c r="I198" s="55"/>
      <c r="J198" s="55"/>
      <c r="K198" s="55"/>
      <c r="L198" s="54" t="s">
        <v>16</v>
      </c>
      <c r="M198" s="3"/>
    </row>
    <row r="199" spans="1:13" hidden="1">
      <c r="A199" s="54">
        <v>198</v>
      </c>
      <c r="B199" s="54" t="s">
        <v>25</v>
      </c>
      <c r="C199" s="54" t="s">
        <v>778</v>
      </c>
      <c r="D199" s="54" t="s">
        <v>779</v>
      </c>
      <c r="E199" s="54" t="s">
        <v>276</v>
      </c>
      <c r="F199" s="54" t="s">
        <v>67</v>
      </c>
      <c r="G199" s="55"/>
      <c r="H199" s="55"/>
      <c r="I199" s="55"/>
      <c r="J199" s="55"/>
      <c r="K199" s="55"/>
      <c r="L199" s="54" t="s">
        <v>16</v>
      </c>
      <c r="M199" s="3"/>
    </row>
    <row r="200" spans="1:13" hidden="1">
      <c r="A200" s="54">
        <v>199</v>
      </c>
      <c r="B200" s="54" t="s">
        <v>25</v>
      </c>
      <c r="C200" s="54" t="s">
        <v>780</v>
      </c>
      <c r="D200" s="54" t="s">
        <v>781</v>
      </c>
      <c r="E200" s="54" t="s">
        <v>276</v>
      </c>
      <c r="F200" s="54" t="s">
        <v>67</v>
      </c>
      <c r="G200" s="55"/>
      <c r="H200" s="55"/>
      <c r="I200" s="55"/>
      <c r="J200" s="55"/>
      <c r="K200" s="55"/>
      <c r="L200" s="54" t="s">
        <v>16</v>
      </c>
      <c r="M200" s="3"/>
    </row>
    <row r="201" spans="1:13">
      <c r="A201" s="54">
        <v>200</v>
      </c>
      <c r="B201" s="54" t="s">
        <v>25</v>
      </c>
      <c r="C201" s="54" t="s">
        <v>782</v>
      </c>
      <c r="D201" s="54" t="s">
        <v>783</v>
      </c>
      <c r="E201" s="54" t="s">
        <v>402</v>
      </c>
      <c r="F201" s="54" t="s">
        <v>67</v>
      </c>
      <c r="G201" s="55"/>
      <c r="H201" s="55"/>
      <c r="I201" s="55"/>
      <c r="J201" s="55"/>
      <c r="K201" s="55"/>
      <c r="L201" s="54" t="s">
        <v>12</v>
      </c>
      <c r="M201" s="3"/>
    </row>
    <row r="202" spans="1:13" hidden="1">
      <c r="A202" s="54">
        <v>201</v>
      </c>
      <c r="B202" s="54" t="s">
        <v>25</v>
      </c>
      <c r="C202" s="54" t="s">
        <v>784</v>
      </c>
      <c r="D202" s="54" t="s">
        <v>785</v>
      </c>
      <c r="E202" s="54" t="s">
        <v>226</v>
      </c>
      <c r="F202" s="54" t="s">
        <v>67</v>
      </c>
      <c r="G202" s="54" t="s">
        <v>786</v>
      </c>
      <c r="H202" s="54" t="s">
        <v>624</v>
      </c>
      <c r="I202" s="54"/>
      <c r="J202" s="54"/>
      <c r="K202" s="54"/>
      <c r="L202" s="54" t="s">
        <v>16</v>
      </c>
      <c r="M202" s="3"/>
    </row>
    <row r="203" spans="1:13" hidden="1">
      <c r="A203" s="54">
        <v>202</v>
      </c>
      <c r="B203" s="54" t="s">
        <v>25</v>
      </c>
      <c r="C203" s="54" t="s">
        <v>787</v>
      </c>
      <c r="D203" s="54" t="s">
        <v>788</v>
      </c>
      <c r="E203" s="54" t="s">
        <v>276</v>
      </c>
      <c r="F203" s="54" t="s">
        <v>67</v>
      </c>
      <c r="G203" s="55"/>
      <c r="H203" s="55"/>
      <c r="I203" s="55"/>
      <c r="J203" s="55"/>
      <c r="K203" s="55"/>
      <c r="L203" s="54" t="s">
        <v>16</v>
      </c>
      <c r="M203" s="3"/>
    </row>
    <row r="204" spans="1:13" hidden="1">
      <c r="A204" s="54">
        <v>203</v>
      </c>
      <c r="B204" s="54" t="s">
        <v>25</v>
      </c>
      <c r="C204" s="54" t="s">
        <v>789</v>
      </c>
      <c r="D204" s="54" t="s">
        <v>790</v>
      </c>
      <c r="E204" s="54" t="s">
        <v>231</v>
      </c>
      <c r="F204" s="54" t="s">
        <v>67</v>
      </c>
      <c r="G204" s="55"/>
      <c r="H204" s="55"/>
      <c r="I204" s="55"/>
      <c r="J204" s="55"/>
      <c r="K204" s="55"/>
      <c r="L204" s="54" t="s">
        <v>16</v>
      </c>
      <c r="M204" s="3"/>
    </row>
    <row r="205" spans="1:13" hidden="1">
      <c r="A205" s="54">
        <v>204</v>
      </c>
      <c r="B205" s="54" t="s">
        <v>25</v>
      </c>
      <c r="C205" s="54" t="s">
        <v>791</v>
      </c>
      <c r="D205" s="54" t="s">
        <v>792</v>
      </c>
      <c r="E205" s="54" t="s">
        <v>697</v>
      </c>
      <c r="F205" s="54" t="s">
        <v>67</v>
      </c>
      <c r="G205" s="55"/>
      <c r="H205" s="55"/>
      <c r="I205" s="55"/>
      <c r="J205" s="55"/>
      <c r="K205" s="55"/>
      <c r="L205" s="54" t="s">
        <v>16</v>
      </c>
      <c r="M205" s="3"/>
    </row>
    <row r="206" spans="1:13" hidden="1">
      <c r="A206" s="54">
        <v>205</v>
      </c>
      <c r="B206" s="54" t="s">
        <v>25</v>
      </c>
      <c r="C206" s="54" t="s">
        <v>793</v>
      </c>
      <c r="D206" s="54" t="s">
        <v>794</v>
      </c>
      <c r="E206" s="54" t="s">
        <v>226</v>
      </c>
      <c r="F206" s="54" t="s">
        <v>67</v>
      </c>
      <c r="G206" s="55"/>
      <c r="H206" s="55"/>
      <c r="I206" s="55"/>
      <c r="J206" s="55"/>
      <c r="K206" s="55"/>
      <c r="L206" s="54" t="s">
        <v>16</v>
      </c>
      <c r="M206" s="3"/>
    </row>
    <row r="207" spans="1:13" hidden="1">
      <c r="A207" s="54">
        <v>206</v>
      </c>
      <c r="B207" s="54" t="s">
        <v>25</v>
      </c>
      <c r="C207" s="54" t="s">
        <v>795</v>
      </c>
      <c r="D207" s="54" t="s">
        <v>796</v>
      </c>
      <c r="E207" s="54" t="s">
        <v>231</v>
      </c>
      <c r="F207" s="54" t="s">
        <v>67</v>
      </c>
      <c r="G207" s="55"/>
      <c r="H207" s="55"/>
      <c r="I207" s="55"/>
      <c r="J207" s="55"/>
      <c r="K207" s="55"/>
      <c r="L207" s="54" t="s">
        <v>122</v>
      </c>
      <c r="M207" s="3"/>
    </row>
    <row r="208" spans="1:13" hidden="1">
      <c r="A208" s="54">
        <v>207</v>
      </c>
      <c r="B208" s="54" t="s">
        <v>25</v>
      </c>
      <c r="C208" s="54" t="s">
        <v>797</v>
      </c>
      <c r="D208" s="54" t="s">
        <v>798</v>
      </c>
      <c r="E208" s="54" t="s">
        <v>226</v>
      </c>
      <c r="F208" s="54" t="s">
        <v>67</v>
      </c>
      <c r="G208" s="55"/>
      <c r="H208" s="55"/>
      <c r="I208" s="55"/>
      <c r="J208" s="55"/>
      <c r="K208" s="55"/>
      <c r="L208" s="54" t="s">
        <v>122</v>
      </c>
      <c r="M208" s="3"/>
    </row>
    <row r="209" spans="1:27" hidden="1">
      <c r="A209" s="54">
        <v>208</v>
      </c>
      <c r="B209" s="54" t="s">
        <v>25</v>
      </c>
      <c r="C209" s="54" t="s">
        <v>799</v>
      </c>
      <c r="D209" s="54" t="s">
        <v>800</v>
      </c>
      <c r="E209" s="54" t="s">
        <v>226</v>
      </c>
      <c r="F209" s="54" t="s">
        <v>67</v>
      </c>
      <c r="G209" s="55"/>
      <c r="H209" s="55"/>
      <c r="I209" s="55"/>
      <c r="J209" s="55"/>
      <c r="K209" s="55"/>
      <c r="L209" s="54" t="s">
        <v>122</v>
      </c>
      <c r="M209" s="3"/>
    </row>
    <row r="210" spans="1:27" hidden="1">
      <c r="A210" s="54">
        <v>209</v>
      </c>
      <c r="B210" s="54" t="s">
        <v>25</v>
      </c>
      <c r="C210" s="54" t="s">
        <v>801</v>
      </c>
      <c r="D210" s="54" t="s">
        <v>802</v>
      </c>
      <c r="E210" s="54" t="s">
        <v>226</v>
      </c>
      <c r="F210" s="54" t="s">
        <v>67</v>
      </c>
      <c r="G210" s="54" t="s">
        <v>416</v>
      </c>
      <c r="H210" s="54" t="s">
        <v>803</v>
      </c>
      <c r="I210" s="54"/>
      <c r="J210" s="54"/>
      <c r="K210" s="54"/>
      <c r="L210" s="54" t="s">
        <v>122</v>
      </c>
      <c r="M210" s="3"/>
    </row>
    <row r="211" spans="1:27" hidden="1">
      <c r="A211" s="54">
        <v>210</v>
      </c>
      <c r="B211" s="54" t="s">
        <v>25</v>
      </c>
      <c r="C211" s="54" t="s">
        <v>804</v>
      </c>
      <c r="D211" s="54" t="s">
        <v>805</v>
      </c>
      <c r="E211" s="54" t="s">
        <v>276</v>
      </c>
      <c r="F211" s="54" t="s">
        <v>67</v>
      </c>
      <c r="G211" s="54" t="s">
        <v>806</v>
      </c>
      <c r="H211" s="54" t="s">
        <v>807</v>
      </c>
      <c r="I211" s="54" t="s">
        <v>108</v>
      </c>
      <c r="J211" s="54" t="s">
        <v>109</v>
      </c>
      <c r="K211" s="54" t="s">
        <v>110</v>
      </c>
      <c r="L211" s="54" t="s">
        <v>111</v>
      </c>
      <c r="M211" s="3"/>
    </row>
    <row r="212" spans="1:27" hidden="1">
      <c r="A212" s="54">
        <v>211</v>
      </c>
      <c r="B212" s="54" t="s">
        <v>25</v>
      </c>
      <c r="C212" s="54" t="s">
        <v>808</v>
      </c>
      <c r="D212" s="54" t="s">
        <v>809</v>
      </c>
      <c r="E212" s="54" t="s">
        <v>231</v>
      </c>
      <c r="F212" s="54" t="s">
        <v>67</v>
      </c>
      <c r="G212" s="54" t="s">
        <v>810</v>
      </c>
      <c r="H212" s="54" t="s">
        <v>811</v>
      </c>
      <c r="I212" s="54" t="s">
        <v>108</v>
      </c>
      <c r="J212" s="54" t="s">
        <v>130</v>
      </c>
      <c r="K212" s="54" t="s">
        <v>110</v>
      </c>
      <c r="L212" s="54" t="s">
        <v>162</v>
      </c>
      <c r="M212" s="3"/>
    </row>
    <row r="213" spans="1:27" hidden="1">
      <c r="A213" s="54">
        <v>212</v>
      </c>
      <c r="B213" s="54" t="s">
        <v>25</v>
      </c>
      <c r="C213" s="54" t="s">
        <v>812</v>
      </c>
      <c r="D213" s="54" t="s">
        <v>813</v>
      </c>
      <c r="E213" s="54" t="s">
        <v>231</v>
      </c>
      <c r="F213" s="54" t="s">
        <v>67</v>
      </c>
      <c r="G213" s="54" t="s">
        <v>148</v>
      </c>
      <c r="H213" s="54" t="s">
        <v>814</v>
      </c>
      <c r="I213" s="54" t="s">
        <v>135</v>
      </c>
      <c r="J213" s="54" t="s">
        <v>136</v>
      </c>
      <c r="K213" s="54" t="s">
        <v>150</v>
      </c>
      <c r="L213" s="54" t="s">
        <v>117</v>
      </c>
      <c r="M213" s="3"/>
    </row>
    <row r="214" spans="1:27" hidden="1">
      <c r="A214" s="54">
        <v>213</v>
      </c>
      <c r="B214" s="54" t="s">
        <v>25</v>
      </c>
      <c r="C214" s="54" t="s">
        <v>815</v>
      </c>
      <c r="D214" s="54" t="s">
        <v>816</v>
      </c>
      <c r="E214" s="54" t="s">
        <v>817</v>
      </c>
      <c r="F214" s="54" t="s">
        <v>67</v>
      </c>
      <c r="G214" s="54" t="s">
        <v>818</v>
      </c>
      <c r="H214" s="54" t="s">
        <v>237</v>
      </c>
      <c r="I214" s="54" t="s">
        <v>108</v>
      </c>
      <c r="J214" s="54" t="s">
        <v>135</v>
      </c>
      <c r="K214" s="54" t="s">
        <v>136</v>
      </c>
      <c r="L214" s="54" t="s">
        <v>117</v>
      </c>
      <c r="M214" s="3"/>
    </row>
    <row r="215" spans="1:27" hidden="1">
      <c r="A215" s="54">
        <v>214</v>
      </c>
      <c r="B215" s="54" t="s">
        <v>25</v>
      </c>
      <c r="C215" s="54" t="s">
        <v>819</v>
      </c>
      <c r="D215" s="54" t="s">
        <v>820</v>
      </c>
      <c r="E215" s="54" t="s">
        <v>402</v>
      </c>
      <c r="F215" s="54" t="s">
        <v>68</v>
      </c>
      <c r="G215" s="54" t="s">
        <v>821</v>
      </c>
      <c r="H215" s="54" t="s">
        <v>397</v>
      </c>
      <c r="I215" s="54"/>
      <c r="J215" s="54"/>
      <c r="K215" s="54"/>
      <c r="L215" s="54" t="s">
        <v>16</v>
      </c>
      <c r="M215" s="3"/>
    </row>
    <row r="216" spans="1:27" hidden="1">
      <c r="A216" s="54">
        <v>215</v>
      </c>
      <c r="B216" s="54" t="s">
        <v>25</v>
      </c>
      <c r="C216" s="54" t="s">
        <v>822</v>
      </c>
      <c r="D216" s="54" t="s">
        <v>823</v>
      </c>
      <c r="E216" s="54" t="s">
        <v>226</v>
      </c>
      <c r="F216" s="54" t="s">
        <v>68</v>
      </c>
      <c r="G216" s="55"/>
      <c r="H216" s="55"/>
      <c r="I216" s="55"/>
      <c r="J216" s="55"/>
      <c r="K216" s="55"/>
      <c r="L216" s="54" t="s">
        <v>16</v>
      </c>
      <c r="M216" s="3"/>
    </row>
    <row r="217" spans="1:27" hidden="1">
      <c r="A217" s="54">
        <v>216</v>
      </c>
      <c r="B217" s="54" t="s">
        <v>25</v>
      </c>
      <c r="C217" s="54" t="s">
        <v>824</v>
      </c>
      <c r="D217" s="54" t="s">
        <v>825</v>
      </c>
      <c r="E217" s="54" t="s">
        <v>226</v>
      </c>
      <c r="F217" s="54" t="s">
        <v>68</v>
      </c>
      <c r="G217" s="55"/>
      <c r="H217" s="55"/>
      <c r="I217" s="54" t="s">
        <v>186</v>
      </c>
      <c r="J217" s="54" t="s">
        <v>187</v>
      </c>
      <c r="K217" s="54"/>
      <c r="L217" s="54" t="s">
        <v>188</v>
      </c>
      <c r="M217" s="3"/>
    </row>
    <row r="218" spans="1:27" hidden="1">
      <c r="A218" s="54">
        <v>217</v>
      </c>
      <c r="B218" s="54" t="s">
        <v>25</v>
      </c>
      <c r="C218" s="54" t="s">
        <v>826</v>
      </c>
      <c r="D218" s="54" t="s">
        <v>827</v>
      </c>
      <c r="E218" s="54" t="s">
        <v>276</v>
      </c>
      <c r="F218" s="54" t="s">
        <v>68</v>
      </c>
      <c r="G218" s="54" t="s">
        <v>828</v>
      </c>
      <c r="H218" s="54" t="s">
        <v>829</v>
      </c>
      <c r="I218" s="54" t="s">
        <v>186</v>
      </c>
      <c r="J218" s="54" t="s">
        <v>187</v>
      </c>
      <c r="K218" s="54"/>
      <c r="L218" s="54" t="s">
        <v>188</v>
      </c>
      <c r="M218" s="3"/>
    </row>
    <row r="219" spans="1:27" hidden="1">
      <c r="A219" s="54">
        <v>218</v>
      </c>
      <c r="B219" s="54" t="s">
        <v>25</v>
      </c>
      <c r="C219" s="54" t="s">
        <v>830</v>
      </c>
      <c r="D219" s="54" t="s">
        <v>831</v>
      </c>
      <c r="E219" s="54" t="s">
        <v>276</v>
      </c>
      <c r="F219" s="54" t="s">
        <v>68</v>
      </c>
      <c r="G219" s="54" t="s">
        <v>832</v>
      </c>
      <c r="H219" s="54" t="s">
        <v>833</v>
      </c>
      <c r="I219" s="54" t="s">
        <v>108</v>
      </c>
      <c r="J219" s="54" t="s">
        <v>135</v>
      </c>
      <c r="K219" s="54" t="s">
        <v>136</v>
      </c>
      <c r="L219" s="54" t="s">
        <v>117</v>
      </c>
      <c r="M219" s="3"/>
    </row>
    <row r="220" spans="1:27" hidden="1">
      <c r="A220" s="54">
        <v>219</v>
      </c>
      <c r="B220" s="54" t="s">
        <v>25</v>
      </c>
      <c r="C220" s="54" t="s">
        <v>834</v>
      </c>
      <c r="D220" s="54" t="s">
        <v>835</v>
      </c>
      <c r="E220" s="54" t="s">
        <v>276</v>
      </c>
      <c r="F220" s="54" t="s">
        <v>68</v>
      </c>
      <c r="G220" s="54" t="s">
        <v>836</v>
      </c>
      <c r="H220" s="54" t="s">
        <v>837</v>
      </c>
      <c r="I220" s="54" t="s">
        <v>108</v>
      </c>
      <c r="J220" s="54" t="s">
        <v>135</v>
      </c>
      <c r="K220" s="54" t="s">
        <v>136</v>
      </c>
      <c r="L220" s="54" t="s">
        <v>117</v>
      </c>
      <c r="M220" s="3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7" hidden="1">
      <c r="A221" s="54">
        <v>220</v>
      </c>
      <c r="B221" s="54" t="s">
        <v>25</v>
      </c>
      <c r="C221" s="54" t="s">
        <v>838</v>
      </c>
      <c r="D221" s="54" t="s">
        <v>839</v>
      </c>
      <c r="E221" s="54" t="s">
        <v>840</v>
      </c>
      <c r="F221" s="54" t="s">
        <v>68</v>
      </c>
      <c r="G221" s="54" t="s">
        <v>841</v>
      </c>
      <c r="H221" s="54" t="s">
        <v>842</v>
      </c>
      <c r="I221" s="54" t="s">
        <v>135</v>
      </c>
      <c r="J221" s="54" t="s">
        <v>136</v>
      </c>
      <c r="K221" s="54" t="s">
        <v>150</v>
      </c>
      <c r="L221" s="54" t="s">
        <v>293</v>
      </c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5"/>
    </row>
    <row r="222" spans="1:27" hidden="1">
      <c r="A222" s="54">
        <v>221</v>
      </c>
      <c r="B222" s="54" t="s">
        <v>25</v>
      </c>
      <c r="C222" s="54" t="s">
        <v>843</v>
      </c>
      <c r="D222" s="54" t="s">
        <v>844</v>
      </c>
      <c r="E222" s="54" t="s">
        <v>276</v>
      </c>
      <c r="F222" s="54" t="s">
        <v>68</v>
      </c>
      <c r="G222" s="54" t="s">
        <v>280</v>
      </c>
      <c r="H222" s="54" t="s">
        <v>845</v>
      </c>
      <c r="I222" s="54" t="s">
        <v>846</v>
      </c>
      <c r="J222" s="54" t="s">
        <v>136</v>
      </c>
      <c r="K222" s="54" t="s">
        <v>200</v>
      </c>
      <c r="L222" s="54" t="s">
        <v>117</v>
      </c>
      <c r="M222" s="3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7">
      <c r="A223" s="54">
        <v>222</v>
      </c>
      <c r="B223" s="54" t="s">
        <v>22</v>
      </c>
      <c r="C223" s="54" t="s">
        <v>847</v>
      </c>
      <c r="D223" s="54" t="s">
        <v>848</v>
      </c>
      <c r="E223" s="54" t="s">
        <v>143</v>
      </c>
      <c r="F223" s="54" t="s">
        <v>69</v>
      </c>
      <c r="G223" s="55"/>
      <c r="H223" s="54"/>
      <c r="I223" s="54"/>
      <c r="J223" s="54"/>
      <c r="K223" s="54"/>
      <c r="L223" s="54" t="s">
        <v>12</v>
      </c>
      <c r="M223" s="3"/>
    </row>
    <row r="224" spans="1:27">
      <c r="A224" s="54">
        <v>223</v>
      </c>
      <c r="B224" s="54" t="s">
        <v>22</v>
      </c>
      <c r="C224" s="54" t="s">
        <v>849</v>
      </c>
      <c r="D224" s="54" t="s">
        <v>850</v>
      </c>
      <c r="E224" s="54" t="s">
        <v>143</v>
      </c>
      <c r="F224" s="54" t="s">
        <v>69</v>
      </c>
      <c r="G224" s="55"/>
      <c r="H224" s="54"/>
      <c r="I224" s="54"/>
      <c r="J224" s="54"/>
      <c r="K224" s="54"/>
      <c r="L224" s="54" t="s">
        <v>12</v>
      </c>
      <c r="M224" s="3"/>
    </row>
    <row r="225" spans="1:13">
      <c r="A225" s="54">
        <v>224</v>
      </c>
      <c r="B225" s="54" t="s">
        <v>22</v>
      </c>
      <c r="C225" s="54" t="s">
        <v>851</v>
      </c>
      <c r="D225" s="54" t="s">
        <v>852</v>
      </c>
      <c r="E225" s="54" t="s">
        <v>143</v>
      </c>
      <c r="F225" s="54" t="s">
        <v>69</v>
      </c>
      <c r="G225" s="55"/>
      <c r="H225" s="54"/>
      <c r="I225" s="54"/>
      <c r="J225" s="54"/>
      <c r="K225" s="54"/>
      <c r="L225" s="54" t="s">
        <v>12</v>
      </c>
      <c r="M225" s="3"/>
    </row>
    <row r="226" spans="1:13">
      <c r="A226" s="54">
        <v>225</v>
      </c>
      <c r="B226" s="54" t="s">
        <v>22</v>
      </c>
      <c r="C226" s="54" t="s">
        <v>853</v>
      </c>
      <c r="D226" s="54" t="s">
        <v>854</v>
      </c>
      <c r="E226" s="54" t="s">
        <v>143</v>
      </c>
      <c r="F226" s="54" t="s">
        <v>69</v>
      </c>
      <c r="G226" s="55"/>
      <c r="H226" s="54"/>
      <c r="I226" s="54"/>
      <c r="J226" s="54"/>
      <c r="K226" s="54"/>
      <c r="L226" s="54" t="s">
        <v>12</v>
      </c>
      <c r="M226" s="3"/>
    </row>
    <row r="227" spans="1:13" hidden="1">
      <c r="A227" s="54">
        <v>226</v>
      </c>
      <c r="B227" s="54" t="s">
        <v>24</v>
      </c>
      <c r="C227" s="54" t="s">
        <v>855</v>
      </c>
      <c r="D227" s="54" t="s">
        <v>856</v>
      </c>
      <c r="E227" s="54" t="s">
        <v>143</v>
      </c>
      <c r="F227" s="54" t="s">
        <v>70</v>
      </c>
      <c r="G227" s="54" t="s">
        <v>358</v>
      </c>
      <c r="H227" s="54" t="s">
        <v>359</v>
      </c>
      <c r="I227" s="54"/>
      <c r="J227" s="54"/>
      <c r="K227" s="54"/>
      <c r="L227" s="54" t="s">
        <v>321</v>
      </c>
      <c r="M227" s="3"/>
    </row>
    <row r="228" spans="1:13" hidden="1">
      <c r="A228" s="54">
        <v>227</v>
      </c>
      <c r="B228" s="54" t="s">
        <v>24</v>
      </c>
      <c r="C228" s="54" t="s">
        <v>857</v>
      </c>
      <c r="D228" s="54" t="s">
        <v>858</v>
      </c>
      <c r="E228" s="54" t="s">
        <v>143</v>
      </c>
      <c r="F228" s="54" t="s">
        <v>70</v>
      </c>
      <c r="G228" s="54" t="s">
        <v>358</v>
      </c>
      <c r="H228" s="54" t="s">
        <v>664</v>
      </c>
      <c r="I228" s="54" t="s">
        <v>116</v>
      </c>
      <c r="J228" s="54" t="s">
        <v>199</v>
      </c>
      <c r="K228" s="54" t="s">
        <v>110</v>
      </c>
      <c r="L228" s="54" t="s">
        <v>162</v>
      </c>
      <c r="M228" s="3"/>
    </row>
    <row r="229" spans="1:13" hidden="1">
      <c r="A229" s="54">
        <v>228</v>
      </c>
      <c r="B229" s="54" t="s">
        <v>24</v>
      </c>
      <c r="C229" s="54" t="s">
        <v>859</v>
      </c>
      <c r="D229" s="54" t="s">
        <v>860</v>
      </c>
      <c r="E229" s="54" t="s">
        <v>382</v>
      </c>
      <c r="F229" s="54" t="s">
        <v>70</v>
      </c>
      <c r="G229" s="54" t="s">
        <v>861</v>
      </c>
      <c r="H229" s="54" t="s">
        <v>292</v>
      </c>
      <c r="I229" s="54"/>
      <c r="J229" s="54"/>
      <c r="K229" s="54"/>
      <c r="L229" s="54" t="s">
        <v>321</v>
      </c>
      <c r="M229" s="3"/>
    </row>
    <row r="230" spans="1:13" hidden="1">
      <c r="A230" s="54">
        <v>229</v>
      </c>
      <c r="B230" s="54" t="s">
        <v>24</v>
      </c>
      <c r="C230" s="54" t="s">
        <v>862</v>
      </c>
      <c r="D230" s="54" t="s">
        <v>863</v>
      </c>
      <c r="E230" s="54" t="s">
        <v>143</v>
      </c>
      <c r="F230" s="54" t="s">
        <v>70</v>
      </c>
      <c r="G230" s="54" t="s">
        <v>861</v>
      </c>
      <c r="H230" s="54" t="s">
        <v>371</v>
      </c>
      <c r="I230" s="54" t="s">
        <v>116</v>
      </c>
      <c r="J230" s="54" t="s">
        <v>199</v>
      </c>
      <c r="K230" s="54" t="s">
        <v>110</v>
      </c>
      <c r="L230" s="54" t="s">
        <v>298</v>
      </c>
      <c r="M230" s="3"/>
    </row>
    <row r="231" spans="1:13" hidden="1">
      <c r="A231" s="54">
        <v>230</v>
      </c>
      <c r="B231" s="54" t="s">
        <v>24</v>
      </c>
      <c r="C231" s="54" t="s">
        <v>864</v>
      </c>
      <c r="D231" s="54" t="s">
        <v>865</v>
      </c>
      <c r="E231" s="54" t="s">
        <v>143</v>
      </c>
      <c r="F231" s="54" t="s">
        <v>70</v>
      </c>
      <c r="G231" s="54" t="s">
        <v>377</v>
      </c>
      <c r="H231" s="54" t="s">
        <v>307</v>
      </c>
      <c r="I231" s="54"/>
      <c r="J231" s="54"/>
      <c r="K231" s="54"/>
      <c r="L231" s="54" t="s">
        <v>321</v>
      </c>
      <c r="M231" s="3"/>
    </row>
    <row r="232" spans="1:13" hidden="1">
      <c r="A232" s="54">
        <v>231</v>
      </c>
      <c r="B232" s="54" t="s">
        <v>24</v>
      </c>
      <c r="C232" s="54" t="s">
        <v>866</v>
      </c>
      <c r="D232" s="54" t="s">
        <v>170</v>
      </c>
      <c r="E232" s="54" t="s">
        <v>867</v>
      </c>
      <c r="F232" s="54" t="s">
        <v>70</v>
      </c>
      <c r="G232" s="54" t="s">
        <v>861</v>
      </c>
      <c r="H232" s="54" t="s">
        <v>351</v>
      </c>
      <c r="I232" s="54" t="s">
        <v>116</v>
      </c>
      <c r="J232" s="54" t="s">
        <v>199</v>
      </c>
      <c r="K232" s="54" t="s">
        <v>110</v>
      </c>
      <c r="L232" s="54" t="s">
        <v>293</v>
      </c>
      <c r="M232" s="3"/>
    </row>
    <row r="233" spans="1:13" hidden="1">
      <c r="A233" s="54">
        <v>232</v>
      </c>
      <c r="B233" s="54" t="s">
        <v>24</v>
      </c>
      <c r="C233" s="54" t="s">
        <v>868</v>
      </c>
      <c r="D233" s="54" t="s">
        <v>869</v>
      </c>
      <c r="E233" s="54" t="s">
        <v>102</v>
      </c>
      <c r="F233" s="54" t="s">
        <v>70</v>
      </c>
      <c r="G233" s="54" t="s">
        <v>870</v>
      </c>
      <c r="H233" s="54" t="s">
        <v>223</v>
      </c>
      <c r="I233" s="54" t="s">
        <v>116</v>
      </c>
      <c r="J233" s="54" t="s">
        <v>199</v>
      </c>
      <c r="K233" s="54" t="s">
        <v>110</v>
      </c>
      <c r="L233" s="54" t="s">
        <v>298</v>
      </c>
      <c r="M233" s="3"/>
    </row>
    <row r="234" spans="1:13" hidden="1">
      <c r="A234" s="54">
        <v>233</v>
      </c>
      <c r="B234" s="54" t="s">
        <v>24</v>
      </c>
      <c r="C234" s="54" t="s">
        <v>871</v>
      </c>
      <c r="D234" s="54" t="s">
        <v>872</v>
      </c>
      <c r="E234" s="54" t="s">
        <v>102</v>
      </c>
      <c r="F234" s="54" t="s">
        <v>70</v>
      </c>
      <c r="G234" s="54" t="s">
        <v>873</v>
      </c>
      <c r="H234" s="54" t="s">
        <v>573</v>
      </c>
      <c r="I234" s="54"/>
      <c r="J234" s="54"/>
      <c r="K234" s="54"/>
      <c r="L234" s="54" t="s">
        <v>321</v>
      </c>
      <c r="M234" s="3"/>
    </row>
    <row r="235" spans="1:13" hidden="1">
      <c r="A235" s="54">
        <v>234</v>
      </c>
      <c r="B235" s="54" t="s">
        <v>24</v>
      </c>
      <c r="C235" s="54" t="s">
        <v>874</v>
      </c>
      <c r="D235" s="54" t="s">
        <v>875</v>
      </c>
      <c r="E235" s="54" t="s">
        <v>143</v>
      </c>
      <c r="F235" s="54" t="s">
        <v>70</v>
      </c>
      <c r="G235" s="54" t="s">
        <v>358</v>
      </c>
      <c r="H235" s="54" t="s">
        <v>598</v>
      </c>
      <c r="I235" s="54" t="s">
        <v>116</v>
      </c>
      <c r="J235" s="54" t="s">
        <v>199</v>
      </c>
      <c r="K235" s="54" t="s">
        <v>110</v>
      </c>
      <c r="L235" s="54" t="s">
        <v>298</v>
      </c>
      <c r="M235" s="3"/>
    </row>
    <row r="236" spans="1:13" hidden="1">
      <c r="A236" s="54">
        <v>235</v>
      </c>
      <c r="B236" s="54" t="s">
        <v>24</v>
      </c>
      <c r="C236" s="54" t="s">
        <v>876</v>
      </c>
      <c r="D236" s="54" t="s">
        <v>877</v>
      </c>
      <c r="E236" s="54" t="s">
        <v>382</v>
      </c>
      <c r="F236" s="54" t="s">
        <v>70</v>
      </c>
      <c r="G236" s="54" t="s">
        <v>861</v>
      </c>
      <c r="H236" s="54" t="s">
        <v>878</v>
      </c>
      <c r="I236" s="54" t="s">
        <v>116</v>
      </c>
      <c r="J236" s="54" t="s">
        <v>199</v>
      </c>
      <c r="K236" s="54" t="s">
        <v>110</v>
      </c>
      <c r="L236" s="54" t="s">
        <v>298</v>
      </c>
      <c r="M236" s="3"/>
    </row>
    <row r="237" spans="1:13" hidden="1">
      <c r="A237" s="54">
        <v>236</v>
      </c>
      <c r="B237" s="54" t="s">
        <v>24</v>
      </c>
      <c r="C237" s="54" t="s">
        <v>879</v>
      </c>
      <c r="D237" s="54" t="s">
        <v>880</v>
      </c>
      <c r="E237" s="54" t="s">
        <v>867</v>
      </c>
      <c r="F237" s="54" t="s">
        <v>70</v>
      </c>
      <c r="G237" s="54" t="s">
        <v>654</v>
      </c>
      <c r="H237" s="54" t="s">
        <v>351</v>
      </c>
      <c r="I237" s="54" t="s">
        <v>116</v>
      </c>
      <c r="J237" s="54" t="s">
        <v>199</v>
      </c>
      <c r="K237" s="54" t="s">
        <v>110</v>
      </c>
      <c r="L237" s="54" t="s">
        <v>293</v>
      </c>
      <c r="M237" s="3"/>
    </row>
    <row r="238" spans="1:13" hidden="1">
      <c r="A238" s="54">
        <v>237</v>
      </c>
      <c r="B238" s="54" t="s">
        <v>24</v>
      </c>
      <c r="C238" s="54" t="s">
        <v>881</v>
      </c>
      <c r="D238" s="54" t="s">
        <v>882</v>
      </c>
      <c r="E238" s="54" t="s">
        <v>402</v>
      </c>
      <c r="F238" s="54" t="s">
        <v>70</v>
      </c>
      <c r="G238" s="54" t="s">
        <v>354</v>
      </c>
      <c r="H238" s="54" t="s">
        <v>368</v>
      </c>
      <c r="I238" s="54" t="s">
        <v>198</v>
      </c>
      <c r="J238" s="54" t="s">
        <v>108</v>
      </c>
      <c r="K238" s="54" t="s">
        <v>135</v>
      </c>
      <c r="L238" s="54" t="s">
        <v>298</v>
      </c>
      <c r="M238" s="3"/>
    </row>
    <row r="239" spans="1:13" hidden="1">
      <c r="A239" s="54">
        <v>238</v>
      </c>
      <c r="B239" s="54" t="s">
        <v>32</v>
      </c>
      <c r="C239" s="54" t="s">
        <v>883</v>
      </c>
      <c r="D239" s="54" t="s">
        <v>884</v>
      </c>
      <c r="E239" s="54" t="s">
        <v>885</v>
      </c>
      <c r="F239" s="54" t="s">
        <v>71</v>
      </c>
      <c r="G239" s="55"/>
      <c r="H239" s="55"/>
      <c r="I239" s="55"/>
      <c r="J239" s="55"/>
      <c r="K239" s="54"/>
      <c r="L239" s="54" t="s">
        <v>16</v>
      </c>
      <c r="M239" s="3"/>
    </row>
    <row r="240" spans="1:13" hidden="1">
      <c r="A240" s="54">
        <v>239</v>
      </c>
      <c r="B240" s="54" t="s">
        <v>32</v>
      </c>
      <c r="C240" s="54" t="s">
        <v>886</v>
      </c>
      <c r="D240" s="54" t="s">
        <v>887</v>
      </c>
      <c r="E240" s="54" t="s">
        <v>888</v>
      </c>
      <c r="F240" s="54" t="s">
        <v>71</v>
      </c>
      <c r="G240" s="54" t="s">
        <v>889</v>
      </c>
      <c r="H240" s="54" t="s">
        <v>303</v>
      </c>
      <c r="I240" s="54" t="s">
        <v>135</v>
      </c>
      <c r="J240" s="54" t="s">
        <v>136</v>
      </c>
      <c r="K240" s="54" t="s">
        <v>150</v>
      </c>
      <c r="L240" s="54" t="s">
        <v>162</v>
      </c>
      <c r="M240" s="3"/>
    </row>
    <row r="241" spans="1:13" hidden="1">
      <c r="A241" s="54">
        <v>240</v>
      </c>
      <c r="B241" s="54" t="s">
        <v>32</v>
      </c>
      <c r="C241" s="54" t="s">
        <v>890</v>
      </c>
      <c r="D241" s="54" t="s">
        <v>891</v>
      </c>
      <c r="E241" s="54" t="s">
        <v>276</v>
      </c>
      <c r="F241" s="54" t="s">
        <v>71</v>
      </c>
      <c r="G241" s="54" t="s">
        <v>892</v>
      </c>
      <c r="H241" s="54" t="s">
        <v>337</v>
      </c>
      <c r="I241" s="54" t="s">
        <v>116</v>
      </c>
      <c r="J241" s="54" t="s">
        <v>109</v>
      </c>
      <c r="K241" s="54" t="s">
        <v>110</v>
      </c>
      <c r="L241" s="54" t="s">
        <v>117</v>
      </c>
      <c r="M241" s="3"/>
    </row>
    <row r="242" spans="1:13" hidden="1">
      <c r="A242" s="54">
        <v>241</v>
      </c>
      <c r="B242" s="54" t="s">
        <v>32</v>
      </c>
      <c r="C242" s="54" t="s">
        <v>893</v>
      </c>
      <c r="D242" s="54" t="s">
        <v>894</v>
      </c>
      <c r="E242" s="54" t="s">
        <v>276</v>
      </c>
      <c r="F242" s="54" t="s">
        <v>71</v>
      </c>
      <c r="G242" s="54" t="s">
        <v>895</v>
      </c>
      <c r="H242" s="54" t="s">
        <v>223</v>
      </c>
      <c r="I242" s="54" t="s">
        <v>108</v>
      </c>
      <c r="J242" s="54" t="s">
        <v>109</v>
      </c>
      <c r="K242" s="54" t="s">
        <v>110</v>
      </c>
      <c r="L242" s="54" t="s">
        <v>162</v>
      </c>
      <c r="M242" s="3"/>
    </row>
    <row r="243" spans="1:13" hidden="1">
      <c r="A243" s="54">
        <v>242</v>
      </c>
      <c r="B243" s="54" t="s">
        <v>32</v>
      </c>
      <c r="C243" s="54" t="s">
        <v>896</v>
      </c>
      <c r="D243" s="54" t="s">
        <v>897</v>
      </c>
      <c r="E243" s="54" t="s">
        <v>276</v>
      </c>
      <c r="F243" s="54" t="s">
        <v>71</v>
      </c>
      <c r="G243" s="54" t="s">
        <v>898</v>
      </c>
      <c r="H243" s="54" t="s">
        <v>341</v>
      </c>
      <c r="I243" s="54" t="s">
        <v>108</v>
      </c>
      <c r="J243" s="54" t="s">
        <v>109</v>
      </c>
      <c r="K243" s="54" t="s">
        <v>110</v>
      </c>
      <c r="L243" s="54" t="s">
        <v>117</v>
      </c>
      <c r="M243" s="3"/>
    </row>
    <row r="244" spans="1:13" hidden="1">
      <c r="A244" s="54">
        <v>243</v>
      </c>
      <c r="B244" s="54" t="s">
        <v>32</v>
      </c>
      <c r="C244" s="54" t="s">
        <v>899</v>
      </c>
      <c r="D244" s="54" t="s">
        <v>900</v>
      </c>
      <c r="E244" s="54" t="s">
        <v>226</v>
      </c>
      <c r="F244" s="54" t="s">
        <v>71</v>
      </c>
      <c r="G244" s="55"/>
      <c r="H244" s="55"/>
      <c r="I244" s="54" t="s">
        <v>186</v>
      </c>
      <c r="J244" s="54" t="s">
        <v>187</v>
      </c>
      <c r="K244" s="54"/>
      <c r="L244" s="54" t="s">
        <v>188</v>
      </c>
      <c r="M244" s="3"/>
    </row>
    <row r="245" spans="1:13" hidden="1">
      <c r="A245" s="54">
        <v>244</v>
      </c>
      <c r="B245" s="54" t="s">
        <v>32</v>
      </c>
      <c r="C245" s="54" t="s">
        <v>901</v>
      </c>
      <c r="D245" s="54" t="s">
        <v>902</v>
      </c>
      <c r="E245" s="54" t="s">
        <v>903</v>
      </c>
      <c r="F245" s="54" t="s">
        <v>71</v>
      </c>
      <c r="G245" s="54" t="s">
        <v>633</v>
      </c>
      <c r="H245" s="54" t="s">
        <v>904</v>
      </c>
      <c r="I245" s="54" t="s">
        <v>136</v>
      </c>
      <c r="J245" s="54" t="s">
        <v>200</v>
      </c>
      <c r="K245" s="54" t="s">
        <v>635</v>
      </c>
      <c r="L245" s="54" t="s">
        <v>117</v>
      </c>
      <c r="M245" s="3"/>
    </row>
    <row r="246" spans="1:13" hidden="1">
      <c r="A246" s="54">
        <v>245</v>
      </c>
      <c r="B246" s="54" t="s">
        <v>32</v>
      </c>
      <c r="C246" s="54" t="s">
        <v>905</v>
      </c>
      <c r="D246" s="54" t="s">
        <v>906</v>
      </c>
      <c r="E246" s="54" t="s">
        <v>907</v>
      </c>
      <c r="F246" s="54" t="s">
        <v>71</v>
      </c>
      <c r="G246" s="54" t="s">
        <v>908</v>
      </c>
      <c r="H246" s="54" t="s">
        <v>651</v>
      </c>
      <c r="I246" s="54" t="s">
        <v>135</v>
      </c>
      <c r="J246" s="54" t="s">
        <v>136</v>
      </c>
      <c r="K246" s="54" t="s">
        <v>150</v>
      </c>
      <c r="L246" s="54" t="s">
        <v>117</v>
      </c>
      <c r="M246" s="3"/>
    </row>
    <row r="247" spans="1:13" hidden="1">
      <c r="A247" s="54">
        <v>246</v>
      </c>
      <c r="B247" s="54" t="s">
        <v>20</v>
      </c>
      <c r="C247" s="54" t="s">
        <v>909</v>
      </c>
      <c r="D247" s="54" t="s">
        <v>910</v>
      </c>
      <c r="E247" s="54" t="s">
        <v>911</v>
      </c>
      <c r="F247" s="54" t="s">
        <v>72</v>
      </c>
      <c r="G247" s="54" t="s">
        <v>211</v>
      </c>
      <c r="H247" s="54" t="s">
        <v>578</v>
      </c>
      <c r="I247" s="54" t="s">
        <v>198</v>
      </c>
      <c r="J247" s="54" t="s">
        <v>108</v>
      </c>
      <c r="K247" s="54" t="s">
        <v>135</v>
      </c>
      <c r="L247" s="54" t="s">
        <v>162</v>
      </c>
      <c r="M247" s="3"/>
    </row>
    <row r="248" spans="1:13" hidden="1">
      <c r="A248" s="54">
        <v>247</v>
      </c>
      <c r="B248" s="54" t="s">
        <v>20</v>
      </c>
      <c r="C248" s="54" t="s">
        <v>912</v>
      </c>
      <c r="D248" s="54" t="s">
        <v>913</v>
      </c>
      <c r="E248" s="54" t="s">
        <v>914</v>
      </c>
      <c r="F248" s="54" t="s">
        <v>72</v>
      </c>
      <c r="G248" s="54" t="s">
        <v>196</v>
      </c>
      <c r="H248" s="54" t="s">
        <v>337</v>
      </c>
      <c r="I248" s="54" t="s">
        <v>198</v>
      </c>
      <c r="J248" s="54" t="s">
        <v>108</v>
      </c>
      <c r="K248" s="54" t="s">
        <v>135</v>
      </c>
      <c r="L248" s="54" t="s">
        <v>162</v>
      </c>
      <c r="M248" s="3"/>
    </row>
    <row r="249" spans="1:13" hidden="1">
      <c r="A249" s="54">
        <v>248</v>
      </c>
      <c r="B249" s="54" t="s">
        <v>20</v>
      </c>
      <c r="C249" s="54" t="s">
        <v>915</v>
      </c>
      <c r="D249" s="54" t="s">
        <v>916</v>
      </c>
      <c r="E249" s="54" t="s">
        <v>159</v>
      </c>
      <c r="F249" s="54" t="s">
        <v>72</v>
      </c>
      <c r="G249" s="54" t="s">
        <v>196</v>
      </c>
      <c r="H249" s="54" t="s">
        <v>578</v>
      </c>
      <c r="I249" s="54" t="s">
        <v>198</v>
      </c>
      <c r="J249" s="54" t="s">
        <v>108</v>
      </c>
      <c r="K249" s="54" t="s">
        <v>135</v>
      </c>
      <c r="L249" s="54" t="s">
        <v>162</v>
      </c>
      <c r="M249" s="3"/>
    </row>
    <row r="250" spans="1:13" hidden="1">
      <c r="A250" s="54">
        <v>249</v>
      </c>
      <c r="B250" s="54" t="s">
        <v>20</v>
      </c>
      <c r="C250" s="54" t="s">
        <v>917</v>
      </c>
      <c r="D250" s="54" t="s">
        <v>918</v>
      </c>
      <c r="E250" s="54" t="s">
        <v>159</v>
      </c>
      <c r="F250" s="54" t="s">
        <v>72</v>
      </c>
      <c r="G250" s="54" t="s">
        <v>919</v>
      </c>
      <c r="H250" s="54" t="s">
        <v>578</v>
      </c>
      <c r="I250" s="54" t="s">
        <v>198</v>
      </c>
      <c r="J250" s="54" t="s">
        <v>108</v>
      </c>
      <c r="K250" s="54" t="s">
        <v>135</v>
      </c>
      <c r="L250" s="54" t="s">
        <v>162</v>
      </c>
      <c r="M250" s="3"/>
    </row>
    <row r="251" spans="1:13" hidden="1">
      <c r="A251" s="54">
        <v>250</v>
      </c>
      <c r="B251" s="54" t="s">
        <v>20</v>
      </c>
      <c r="C251" s="54" t="s">
        <v>920</v>
      </c>
      <c r="D251" s="54" t="s">
        <v>921</v>
      </c>
      <c r="E251" s="54" t="s">
        <v>159</v>
      </c>
      <c r="F251" s="54" t="s">
        <v>72</v>
      </c>
      <c r="G251" s="54" t="s">
        <v>922</v>
      </c>
      <c r="H251" s="54" t="s">
        <v>923</v>
      </c>
      <c r="I251" s="54" t="s">
        <v>135</v>
      </c>
      <c r="J251" s="54" t="s">
        <v>136</v>
      </c>
      <c r="K251" s="54" t="s">
        <v>150</v>
      </c>
      <c r="L251" s="54" t="s">
        <v>162</v>
      </c>
      <c r="M251" s="3"/>
    </row>
    <row r="252" spans="1:13" hidden="1">
      <c r="A252" s="54">
        <v>251</v>
      </c>
      <c r="B252" s="54" t="s">
        <v>20</v>
      </c>
      <c r="C252" s="54" t="s">
        <v>924</v>
      </c>
      <c r="D252" s="54" t="s">
        <v>925</v>
      </c>
      <c r="E252" s="54" t="s">
        <v>926</v>
      </c>
      <c r="F252" s="54" t="s">
        <v>73</v>
      </c>
      <c r="G252" s="55"/>
      <c r="H252" s="55"/>
      <c r="I252" s="55"/>
      <c r="J252" s="54"/>
      <c r="K252" s="54"/>
      <c r="L252" s="54" t="s">
        <v>16</v>
      </c>
      <c r="M252" s="3"/>
    </row>
    <row r="253" spans="1:13" hidden="1">
      <c r="A253" s="54">
        <v>252</v>
      </c>
      <c r="B253" s="54" t="s">
        <v>23</v>
      </c>
      <c r="C253" s="54" t="s">
        <v>927</v>
      </c>
      <c r="D253" s="54" t="s">
        <v>928</v>
      </c>
      <c r="E253" s="54" t="s">
        <v>143</v>
      </c>
      <c r="F253" s="54" t="s">
        <v>74</v>
      </c>
      <c r="G253" s="54" t="s">
        <v>196</v>
      </c>
      <c r="H253" s="54" t="s">
        <v>292</v>
      </c>
      <c r="I253" s="54"/>
      <c r="J253" s="54"/>
      <c r="K253" s="54"/>
      <c r="L253" s="54" t="s">
        <v>304</v>
      </c>
      <c r="M253" s="3"/>
    </row>
    <row r="254" spans="1:13" hidden="1">
      <c r="A254" s="54">
        <v>253</v>
      </c>
      <c r="B254" s="54" t="s">
        <v>23</v>
      </c>
      <c r="C254" s="54" t="s">
        <v>929</v>
      </c>
      <c r="D254" s="54" t="s">
        <v>930</v>
      </c>
      <c r="E254" s="54" t="s">
        <v>143</v>
      </c>
      <c r="F254" s="54" t="s">
        <v>74</v>
      </c>
      <c r="G254" s="54" t="s">
        <v>222</v>
      </c>
      <c r="H254" s="54" t="s">
        <v>324</v>
      </c>
      <c r="I254" s="54" t="s">
        <v>108</v>
      </c>
      <c r="J254" s="54" t="s">
        <v>109</v>
      </c>
      <c r="K254" s="54" t="s">
        <v>110</v>
      </c>
      <c r="L254" s="54" t="s">
        <v>117</v>
      </c>
      <c r="M254" s="3"/>
    </row>
    <row r="255" spans="1:13" hidden="1">
      <c r="A255" s="54">
        <v>254</v>
      </c>
      <c r="B255" s="54" t="s">
        <v>23</v>
      </c>
      <c r="C255" s="54" t="s">
        <v>931</v>
      </c>
      <c r="D255" s="54" t="s">
        <v>932</v>
      </c>
      <c r="E255" s="54" t="s">
        <v>143</v>
      </c>
      <c r="F255" s="54" t="s">
        <v>74</v>
      </c>
      <c r="G255" s="54" t="s">
        <v>577</v>
      </c>
      <c r="H255" s="54" t="s">
        <v>324</v>
      </c>
      <c r="I255" s="54"/>
      <c r="J255" s="54"/>
      <c r="K255" s="54"/>
      <c r="L255" s="54" t="s">
        <v>321</v>
      </c>
      <c r="M255" s="3"/>
    </row>
    <row r="256" spans="1:13" hidden="1">
      <c r="A256" s="54">
        <v>255</v>
      </c>
      <c r="B256" s="54" t="s">
        <v>23</v>
      </c>
      <c r="C256" s="54" t="s">
        <v>933</v>
      </c>
      <c r="D256" s="54" t="s">
        <v>934</v>
      </c>
      <c r="E256" s="55"/>
      <c r="F256" s="54" t="s">
        <v>74</v>
      </c>
      <c r="G256" s="54" t="s">
        <v>935</v>
      </c>
      <c r="H256" s="54" t="s">
        <v>324</v>
      </c>
      <c r="I256" s="54" t="s">
        <v>108</v>
      </c>
      <c r="J256" s="54" t="s">
        <v>130</v>
      </c>
      <c r="K256" s="54" t="s">
        <v>110</v>
      </c>
      <c r="L256" s="54" t="s">
        <v>298</v>
      </c>
      <c r="M256" s="3"/>
    </row>
    <row r="257" spans="1:13" hidden="1">
      <c r="A257" s="54">
        <v>256</v>
      </c>
      <c r="B257" s="54" t="s">
        <v>23</v>
      </c>
      <c r="C257" s="54" t="s">
        <v>936</v>
      </c>
      <c r="D257" s="54" t="s">
        <v>937</v>
      </c>
      <c r="E257" s="54" t="s">
        <v>143</v>
      </c>
      <c r="F257" s="54" t="s">
        <v>74</v>
      </c>
      <c r="G257" s="54" t="s">
        <v>196</v>
      </c>
      <c r="H257" s="54" t="s">
        <v>938</v>
      </c>
      <c r="I257" s="54"/>
      <c r="J257" s="54"/>
      <c r="K257" s="54"/>
      <c r="L257" s="54" t="s">
        <v>321</v>
      </c>
      <c r="M257" s="3"/>
    </row>
    <row r="258" spans="1:13" hidden="1">
      <c r="A258" s="54">
        <v>257</v>
      </c>
      <c r="B258" s="54" t="s">
        <v>23</v>
      </c>
      <c r="C258" s="54" t="s">
        <v>939</v>
      </c>
      <c r="D258" s="54" t="s">
        <v>940</v>
      </c>
      <c r="E258" s="54" t="s">
        <v>143</v>
      </c>
      <c r="F258" s="54" t="s">
        <v>74</v>
      </c>
      <c r="G258" s="54" t="s">
        <v>222</v>
      </c>
      <c r="H258" s="54" t="s">
        <v>292</v>
      </c>
      <c r="I258" s="54" t="s">
        <v>198</v>
      </c>
      <c r="J258" s="54" t="s">
        <v>135</v>
      </c>
      <c r="K258" s="54" t="s">
        <v>136</v>
      </c>
      <c r="L258" s="54" t="s">
        <v>298</v>
      </c>
      <c r="M258" s="3"/>
    </row>
    <row r="259" spans="1:13" hidden="1">
      <c r="A259" s="54">
        <v>258</v>
      </c>
      <c r="B259" s="54" t="s">
        <v>23</v>
      </c>
      <c r="C259" s="54" t="s">
        <v>941</v>
      </c>
      <c r="D259" s="54" t="s">
        <v>942</v>
      </c>
      <c r="E259" s="54" t="s">
        <v>366</v>
      </c>
      <c r="F259" s="54" t="s">
        <v>74</v>
      </c>
      <c r="G259" s="54" t="s">
        <v>943</v>
      </c>
      <c r="H259" s="54" t="s">
        <v>679</v>
      </c>
      <c r="I259" s="54" t="s">
        <v>108</v>
      </c>
      <c r="J259" s="54" t="s">
        <v>109</v>
      </c>
      <c r="K259" s="54" t="s">
        <v>110</v>
      </c>
      <c r="L259" s="54" t="s">
        <v>162</v>
      </c>
      <c r="M259" s="3"/>
    </row>
    <row r="260" spans="1:13" hidden="1">
      <c r="A260" s="54">
        <v>259</v>
      </c>
      <c r="B260" s="54" t="s">
        <v>23</v>
      </c>
      <c r="C260" s="54" t="s">
        <v>944</v>
      </c>
      <c r="D260" s="54" t="s">
        <v>945</v>
      </c>
      <c r="E260" s="54" t="s">
        <v>366</v>
      </c>
      <c r="F260" s="54" t="s">
        <v>74</v>
      </c>
      <c r="G260" s="54" t="s">
        <v>870</v>
      </c>
      <c r="H260" s="54" t="s">
        <v>341</v>
      </c>
      <c r="I260" s="54" t="s">
        <v>116</v>
      </c>
      <c r="J260" s="54" t="s">
        <v>199</v>
      </c>
      <c r="K260" s="54" t="s">
        <v>110</v>
      </c>
      <c r="L260" s="54" t="s">
        <v>293</v>
      </c>
      <c r="M260" s="3"/>
    </row>
    <row r="261" spans="1:13" hidden="1">
      <c r="A261" s="54">
        <v>260</v>
      </c>
      <c r="B261" s="54" t="s">
        <v>22</v>
      </c>
      <c r="C261" s="54" t="s">
        <v>946</v>
      </c>
      <c r="D261" s="54" t="s">
        <v>947</v>
      </c>
      <c r="E261" s="54" t="s">
        <v>102</v>
      </c>
      <c r="F261" s="56" t="s">
        <v>948</v>
      </c>
      <c r="G261" s="54" t="s">
        <v>949</v>
      </c>
      <c r="H261" s="54" t="s">
        <v>950</v>
      </c>
      <c r="I261" s="54" t="s">
        <v>108</v>
      </c>
      <c r="J261" s="54" t="s">
        <v>130</v>
      </c>
      <c r="K261" s="54" t="s">
        <v>110</v>
      </c>
      <c r="L261" s="54" t="s">
        <v>162</v>
      </c>
      <c r="M261" s="3"/>
    </row>
    <row r="262" spans="1:13">
      <c r="A262" s="54">
        <v>261</v>
      </c>
      <c r="B262" s="54" t="s">
        <v>22</v>
      </c>
      <c r="C262" s="54" t="s">
        <v>951</v>
      </c>
      <c r="D262" s="54" t="s">
        <v>865</v>
      </c>
      <c r="E262" s="54" t="s">
        <v>952</v>
      </c>
      <c r="F262" s="56" t="s">
        <v>948</v>
      </c>
      <c r="G262" s="55"/>
      <c r="H262" s="55"/>
      <c r="I262" s="55"/>
      <c r="J262" s="54"/>
      <c r="K262" s="54"/>
      <c r="L262" s="54" t="s">
        <v>12</v>
      </c>
      <c r="M262" s="3"/>
    </row>
    <row r="263" spans="1:13" hidden="1">
      <c r="A263" s="54">
        <v>262</v>
      </c>
      <c r="B263" s="54" t="s">
        <v>22</v>
      </c>
      <c r="C263" s="54" t="s">
        <v>953</v>
      </c>
      <c r="D263" s="54" t="s">
        <v>954</v>
      </c>
      <c r="E263" s="54" t="s">
        <v>143</v>
      </c>
      <c r="F263" s="56" t="s">
        <v>948</v>
      </c>
      <c r="G263" s="54" t="s">
        <v>128</v>
      </c>
      <c r="H263" s="54" t="s">
        <v>955</v>
      </c>
      <c r="I263" s="54"/>
      <c r="J263" s="54"/>
      <c r="K263" s="54"/>
      <c r="L263" s="54" t="s">
        <v>122</v>
      </c>
      <c r="M263" s="3"/>
    </row>
    <row r="264" spans="1:13" hidden="1">
      <c r="A264" s="54">
        <v>263</v>
      </c>
      <c r="B264" s="54" t="s">
        <v>22</v>
      </c>
      <c r="C264" s="54" t="s">
        <v>956</v>
      </c>
      <c r="D264" s="54" t="s">
        <v>957</v>
      </c>
      <c r="E264" s="54" t="s">
        <v>102</v>
      </c>
      <c r="F264" s="56" t="s">
        <v>948</v>
      </c>
      <c r="G264" s="54" t="s">
        <v>958</v>
      </c>
      <c r="H264" s="54" t="s">
        <v>959</v>
      </c>
      <c r="I264" s="54" t="s">
        <v>108</v>
      </c>
      <c r="J264" s="54" t="s">
        <v>130</v>
      </c>
      <c r="K264" s="54" t="s">
        <v>110</v>
      </c>
      <c r="L264" s="54" t="s">
        <v>111</v>
      </c>
      <c r="M264" s="3"/>
    </row>
    <row r="265" spans="1:13">
      <c r="A265" s="54">
        <v>264</v>
      </c>
      <c r="B265" s="54" t="s">
        <v>32</v>
      </c>
      <c r="C265" s="54" t="s">
        <v>960</v>
      </c>
      <c r="D265" s="54" t="s">
        <v>961</v>
      </c>
      <c r="E265" s="54" t="s">
        <v>713</v>
      </c>
      <c r="F265" s="54" t="s">
        <v>962</v>
      </c>
      <c r="G265" s="55"/>
      <c r="H265" s="55"/>
      <c r="I265" s="55"/>
      <c r="J265" s="54"/>
      <c r="K265" s="54"/>
      <c r="L265" s="54" t="s">
        <v>12</v>
      </c>
      <c r="M265" s="3"/>
    </row>
    <row r="266" spans="1:13">
      <c r="A266" s="54">
        <v>265</v>
      </c>
      <c r="B266" s="54" t="s">
        <v>32</v>
      </c>
      <c r="C266" s="54" t="s">
        <v>963</v>
      </c>
      <c r="D266" s="54" t="s">
        <v>964</v>
      </c>
      <c r="E266" s="54" t="s">
        <v>226</v>
      </c>
      <c r="F266" s="54" t="s">
        <v>962</v>
      </c>
      <c r="G266" s="55"/>
      <c r="H266" s="55"/>
      <c r="I266" s="55"/>
      <c r="J266" s="54"/>
      <c r="K266" s="54"/>
      <c r="L266" s="54" t="s">
        <v>12</v>
      </c>
      <c r="M266" s="3"/>
    </row>
    <row r="267" spans="1:13" hidden="1">
      <c r="A267" s="54">
        <v>266</v>
      </c>
      <c r="B267" s="54" t="s">
        <v>32</v>
      </c>
      <c r="C267" s="54" t="s">
        <v>965</v>
      </c>
      <c r="D267" s="54" t="s">
        <v>966</v>
      </c>
      <c r="E267" s="54" t="s">
        <v>276</v>
      </c>
      <c r="F267" s="54" t="s">
        <v>77</v>
      </c>
      <c r="G267" s="54" t="s">
        <v>967</v>
      </c>
      <c r="H267" s="54" t="s">
        <v>284</v>
      </c>
      <c r="I267" s="54" t="s">
        <v>135</v>
      </c>
      <c r="J267" s="54" t="s">
        <v>136</v>
      </c>
      <c r="K267" s="54" t="s">
        <v>150</v>
      </c>
      <c r="L267" s="54" t="s">
        <v>111</v>
      </c>
      <c r="M267" s="3"/>
    </row>
    <row r="268" spans="1:13" hidden="1">
      <c r="A268" s="54">
        <v>267</v>
      </c>
      <c r="B268" s="54" t="s">
        <v>32</v>
      </c>
      <c r="C268" s="54" t="s">
        <v>968</v>
      </c>
      <c r="D268" s="54" t="s">
        <v>969</v>
      </c>
      <c r="E268" s="54" t="s">
        <v>226</v>
      </c>
      <c r="F268" s="54" t="s">
        <v>77</v>
      </c>
      <c r="G268" s="54" t="s">
        <v>970</v>
      </c>
      <c r="H268" s="54" t="s">
        <v>643</v>
      </c>
      <c r="I268" s="54" t="s">
        <v>198</v>
      </c>
      <c r="J268" s="54" t="s">
        <v>135</v>
      </c>
      <c r="K268" s="54" t="s">
        <v>136</v>
      </c>
      <c r="L268" s="54" t="s">
        <v>111</v>
      </c>
      <c r="M268" s="3"/>
    </row>
    <row r="269" spans="1:13" hidden="1">
      <c r="A269" s="54">
        <v>268</v>
      </c>
      <c r="B269" s="54" t="s">
        <v>32</v>
      </c>
      <c r="C269" s="54" t="s">
        <v>971</v>
      </c>
      <c r="D269" s="54" t="s">
        <v>972</v>
      </c>
      <c r="E269" s="54" t="s">
        <v>276</v>
      </c>
      <c r="F269" s="54" t="s">
        <v>77</v>
      </c>
      <c r="G269" s="54" t="s">
        <v>737</v>
      </c>
      <c r="H269" s="54" t="s">
        <v>973</v>
      </c>
      <c r="I269" s="54" t="s">
        <v>108</v>
      </c>
      <c r="J269" s="54" t="s">
        <v>135</v>
      </c>
      <c r="K269" s="54" t="s">
        <v>136</v>
      </c>
      <c r="L269" s="54" t="s">
        <v>111</v>
      </c>
      <c r="M269" s="3"/>
    </row>
    <row r="270" spans="1:13" hidden="1">
      <c r="A270" s="54">
        <v>269</v>
      </c>
      <c r="B270" s="54" t="s">
        <v>32</v>
      </c>
      <c r="C270" s="54" t="s">
        <v>974</v>
      </c>
      <c r="D270" s="54" t="s">
        <v>975</v>
      </c>
      <c r="E270" s="54" t="s">
        <v>226</v>
      </c>
      <c r="F270" s="54" t="s">
        <v>77</v>
      </c>
      <c r="G270" s="55"/>
      <c r="H270" s="55"/>
      <c r="I270" s="55"/>
      <c r="J270" s="55"/>
      <c r="K270" s="54"/>
      <c r="L270" s="54" t="s">
        <v>122</v>
      </c>
      <c r="M270" s="3"/>
    </row>
    <row r="271" spans="1:13" hidden="1">
      <c r="A271" s="54">
        <v>270</v>
      </c>
      <c r="B271" s="54" t="s">
        <v>32</v>
      </c>
      <c r="C271" s="54" t="s">
        <v>976</v>
      </c>
      <c r="D271" s="54" t="s">
        <v>977</v>
      </c>
      <c r="E271" s="54" t="s">
        <v>231</v>
      </c>
      <c r="F271" s="54" t="s">
        <v>77</v>
      </c>
      <c r="G271" s="55"/>
      <c r="H271" s="55"/>
      <c r="I271" s="55"/>
      <c r="J271" s="55"/>
      <c r="K271" s="54"/>
      <c r="L271" s="54" t="s">
        <v>122</v>
      </c>
      <c r="M271" s="3"/>
    </row>
    <row r="272" spans="1:13" hidden="1">
      <c r="A272" s="54">
        <v>271</v>
      </c>
      <c r="B272" s="54" t="s">
        <v>32</v>
      </c>
      <c r="C272" s="54" t="s">
        <v>978</v>
      </c>
      <c r="D272" s="54" t="s">
        <v>979</v>
      </c>
      <c r="E272" s="54" t="s">
        <v>980</v>
      </c>
      <c r="F272" s="54" t="s">
        <v>77</v>
      </c>
      <c r="G272" s="54" t="s">
        <v>981</v>
      </c>
      <c r="H272" s="54" t="s">
        <v>643</v>
      </c>
      <c r="I272" s="54"/>
      <c r="J272" s="54"/>
      <c r="K272" s="54"/>
      <c r="L272" s="54" t="s">
        <v>122</v>
      </c>
      <c r="M272" s="3"/>
    </row>
    <row r="273" spans="1:13" hidden="1">
      <c r="A273" s="54">
        <v>272</v>
      </c>
      <c r="B273" s="54" t="s">
        <v>32</v>
      </c>
      <c r="C273" s="54" t="s">
        <v>982</v>
      </c>
      <c r="D273" s="54" t="s">
        <v>983</v>
      </c>
      <c r="E273" s="54" t="s">
        <v>984</v>
      </c>
      <c r="F273" s="54" t="s">
        <v>77</v>
      </c>
      <c r="G273" s="54" t="s">
        <v>638</v>
      </c>
      <c r="H273" s="54" t="s">
        <v>985</v>
      </c>
      <c r="I273" s="54" t="s">
        <v>846</v>
      </c>
      <c r="J273" s="54" t="s">
        <v>136</v>
      </c>
      <c r="K273" s="54" t="s">
        <v>200</v>
      </c>
      <c r="L273" s="54" t="s">
        <v>117</v>
      </c>
      <c r="M273" s="3"/>
    </row>
    <row r="274" spans="1:13" hidden="1">
      <c r="A274" s="54">
        <v>273</v>
      </c>
      <c r="B274" s="54" t="s">
        <v>31</v>
      </c>
      <c r="C274" s="54" t="s">
        <v>986</v>
      </c>
      <c r="D274" s="54" t="s">
        <v>987</v>
      </c>
      <c r="E274" s="54" t="s">
        <v>102</v>
      </c>
      <c r="F274" s="54" t="s">
        <v>78</v>
      </c>
      <c r="G274" s="54" t="s">
        <v>988</v>
      </c>
      <c r="H274" s="54" t="s">
        <v>564</v>
      </c>
      <c r="I274" s="54" t="s">
        <v>108</v>
      </c>
      <c r="J274" s="54" t="s">
        <v>109</v>
      </c>
      <c r="K274" s="54" t="s">
        <v>110</v>
      </c>
      <c r="L274" s="54" t="s">
        <v>117</v>
      </c>
      <c r="M274" s="3"/>
    </row>
    <row r="275" spans="1:13">
      <c r="A275" s="54">
        <v>274</v>
      </c>
      <c r="B275" s="54" t="s">
        <v>31</v>
      </c>
      <c r="C275" s="54" t="s">
        <v>989</v>
      </c>
      <c r="D275" s="54" t="s">
        <v>990</v>
      </c>
      <c r="E275" s="54" t="s">
        <v>102</v>
      </c>
      <c r="F275" s="54" t="s">
        <v>78</v>
      </c>
      <c r="G275" s="55"/>
      <c r="H275" s="55"/>
      <c r="I275" s="55"/>
      <c r="J275" s="54"/>
      <c r="K275" s="54"/>
      <c r="L275" s="54" t="s">
        <v>12</v>
      </c>
      <c r="M275" s="3"/>
    </row>
    <row r="276" spans="1:13" hidden="1">
      <c r="A276" s="54">
        <v>275</v>
      </c>
      <c r="B276" s="54" t="s">
        <v>31</v>
      </c>
      <c r="C276" s="54" t="s">
        <v>991</v>
      </c>
      <c r="D276" s="54" t="s">
        <v>992</v>
      </c>
      <c r="E276" s="54" t="s">
        <v>102</v>
      </c>
      <c r="F276" s="54" t="s">
        <v>78</v>
      </c>
      <c r="G276" s="54" t="s">
        <v>993</v>
      </c>
      <c r="H276" s="54" t="s">
        <v>554</v>
      </c>
      <c r="I276" s="54" t="s">
        <v>108</v>
      </c>
      <c r="J276" s="54" t="s">
        <v>109</v>
      </c>
      <c r="K276" s="54" t="s">
        <v>110</v>
      </c>
      <c r="L276" s="54" t="s">
        <v>111</v>
      </c>
      <c r="M276" s="3"/>
    </row>
    <row r="277" spans="1:13" hidden="1">
      <c r="A277" s="54">
        <v>276</v>
      </c>
      <c r="B277" s="54" t="s">
        <v>31</v>
      </c>
      <c r="C277" s="54" t="s">
        <v>994</v>
      </c>
      <c r="D277" s="54" t="s">
        <v>995</v>
      </c>
      <c r="E277" s="54" t="s">
        <v>143</v>
      </c>
      <c r="F277" s="54" t="s">
        <v>78</v>
      </c>
      <c r="G277" s="54" t="s">
        <v>996</v>
      </c>
      <c r="H277" s="54" t="s">
        <v>997</v>
      </c>
      <c r="I277" s="54" t="s">
        <v>108</v>
      </c>
      <c r="J277" s="54" t="s">
        <v>109</v>
      </c>
      <c r="K277" s="54" t="s">
        <v>110</v>
      </c>
      <c r="L277" s="54" t="s">
        <v>117</v>
      </c>
      <c r="M277" s="3"/>
    </row>
    <row r="278" spans="1:13" hidden="1">
      <c r="A278" s="54">
        <v>277</v>
      </c>
      <c r="B278" s="54" t="s">
        <v>31</v>
      </c>
      <c r="C278" s="54" t="s">
        <v>998</v>
      </c>
      <c r="D278" s="54" t="s">
        <v>999</v>
      </c>
      <c r="E278" s="54" t="s">
        <v>301</v>
      </c>
      <c r="F278" s="54" t="s">
        <v>78</v>
      </c>
      <c r="G278" s="54" t="s">
        <v>1000</v>
      </c>
      <c r="H278" s="54" t="s">
        <v>1001</v>
      </c>
      <c r="I278" s="54" t="s">
        <v>108</v>
      </c>
      <c r="J278" s="54" t="s">
        <v>109</v>
      </c>
      <c r="K278" s="54" t="s">
        <v>110</v>
      </c>
      <c r="L278" s="54" t="s">
        <v>117</v>
      </c>
      <c r="M278" s="3"/>
    </row>
    <row r="279" spans="1:13" hidden="1">
      <c r="A279" s="54">
        <v>278</v>
      </c>
      <c r="B279" s="54" t="s">
        <v>25</v>
      </c>
      <c r="C279" s="54" t="s">
        <v>1002</v>
      </c>
      <c r="D279" s="54" t="s">
        <v>1003</v>
      </c>
      <c r="E279" s="54" t="s">
        <v>231</v>
      </c>
      <c r="F279" s="54" t="s">
        <v>79</v>
      </c>
      <c r="G279" s="54" t="s">
        <v>1004</v>
      </c>
      <c r="H279" s="54" t="s">
        <v>1005</v>
      </c>
      <c r="I279" s="54" t="s">
        <v>108</v>
      </c>
      <c r="J279" s="54" t="s">
        <v>135</v>
      </c>
      <c r="K279" s="54" t="s">
        <v>136</v>
      </c>
      <c r="L279" s="54" t="s">
        <v>293</v>
      </c>
      <c r="M279" s="3"/>
    </row>
    <row r="280" spans="1:13">
      <c r="A280" s="54">
        <v>279</v>
      </c>
      <c r="B280" s="54" t="s">
        <v>25</v>
      </c>
      <c r="C280" s="54" t="s">
        <v>1006</v>
      </c>
      <c r="D280" s="54" t="s">
        <v>1007</v>
      </c>
      <c r="E280" s="54" t="s">
        <v>226</v>
      </c>
      <c r="F280" s="54" t="s">
        <v>79</v>
      </c>
      <c r="G280" s="55"/>
      <c r="H280" s="55"/>
      <c r="I280" s="54"/>
      <c r="J280" s="54"/>
      <c r="K280" s="54"/>
      <c r="L280" s="54" t="s">
        <v>12</v>
      </c>
      <c r="M280" s="3"/>
    </row>
    <row r="281" spans="1:13" hidden="1">
      <c r="A281" s="54">
        <v>280</v>
      </c>
      <c r="B281" s="54" t="s">
        <v>25</v>
      </c>
      <c r="C281" s="54" t="s">
        <v>1008</v>
      </c>
      <c r="D281" s="54" t="s">
        <v>1009</v>
      </c>
      <c r="E281" s="54" t="s">
        <v>226</v>
      </c>
      <c r="F281" s="54" t="s">
        <v>79</v>
      </c>
      <c r="G281" s="54" t="s">
        <v>1010</v>
      </c>
      <c r="H281" s="54" t="s">
        <v>1011</v>
      </c>
      <c r="I281" s="54" t="s">
        <v>108</v>
      </c>
      <c r="J281" s="54" t="s">
        <v>135</v>
      </c>
      <c r="K281" s="54" t="s">
        <v>136</v>
      </c>
      <c r="L281" s="54" t="s">
        <v>111</v>
      </c>
      <c r="M281" s="3"/>
    </row>
    <row r="282" spans="1:13" hidden="1">
      <c r="A282" s="54">
        <v>281</v>
      </c>
      <c r="B282" s="54" t="s">
        <v>25</v>
      </c>
      <c r="C282" s="54" t="s">
        <v>1012</v>
      </c>
      <c r="D282" s="54" t="s">
        <v>1013</v>
      </c>
      <c r="E282" s="54" t="s">
        <v>226</v>
      </c>
      <c r="F282" s="54" t="s">
        <v>79</v>
      </c>
      <c r="G282" s="54" t="s">
        <v>1014</v>
      </c>
      <c r="H282" s="54" t="s">
        <v>749</v>
      </c>
      <c r="I282" s="54" t="s">
        <v>136</v>
      </c>
      <c r="J282" s="54" t="s">
        <v>200</v>
      </c>
      <c r="K282" s="54" t="s">
        <v>635</v>
      </c>
      <c r="L282" s="54" t="s">
        <v>111</v>
      </c>
      <c r="M282" s="3"/>
    </row>
    <row r="283" spans="1:13" hidden="1">
      <c r="A283" s="54">
        <v>282</v>
      </c>
      <c r="B283" s="54" t="s">
        <v>25</v>
      </c>
      <c r="C283" s="54" t="s">
        <v>1015</v>
      </c>
      <c r="D283" s="54" t="s">
        <v>1016</v>
      </c>
      <c r="E283" s="54" t="s">
        <v>1017</v>
      </c>
      <c r="F283" s="54" t="s">
        <v>79</v>
      </c>
      <c r="G283" s="55"/>
      <c r="H283" s="55"/>
      <c r="I283" s="54"/>
      <c r="J283" s="54"/>
      <c r="K283" s="54"/>
      <c r="L283" s="54" t="s">
        <v>122</v>
      </c>
      <c r="M283" s="3"/>
    </row>
    <row r="284" spans="1:13" hidden="1">
      <c r="A284" s="54">
        <v>283</v>
      </c>
      <c r="B284" s="54" t="s">
        <v>25</v>
      </c>
      <c r="C284" s="54" t="s">
        <v>1018</v>
      </c>
      <c r="D284" s="54" t="s">
        <v>1019</v>
      </c>
      <c r="E284" s="54" t="s">
        <v>226</v>
      </c>
      <c r="F284" s="54" t="s">
        <v>79</v>
      </c>
      <c r="G284" s="54" t="s">
        <v>1020</v>
      </c>
      <c r="H284" s="54" t="s">
        <v>842</v>
      </c>
      <c r="I284" s="54" t="s">
        <v>198</v>
      </c>
      <c r="J284" s="54" t="s">
        <v>199</v>
      </c>
      <c r="K284" s="54" t="s">
        <v>200</v>
      </c>
      <c r="L284" s="54" t="s">
        <v>111</v>
      </c>
      <c r="M284" s="3"/>
    </row>
    <row r="285" spans="1:13" hidden="1">
      <c r="A285" s="54">
        <v>284</v>
      </c>
      <c r="B285" s="54" t="s">
        <v>25</v>
      </c>
      <c r="C285" s="54" t="s">
        <v>1021</v>
      </c>
      <c r="D285" s="54" t="s">
        <v>1022</v>
      </c>
      <c r="E285" s="54" t="s">
        <v>1023</v>
      </c>
      <c r="F285" s="54" t="s">
        <v>79</v>
      </c>
      <c r="G285" s="54" t="s">
        <v>1024</v>
      </c>
      <c r="H285" s="54" t="s">
        <v>829</v>
      </c>
      <c r="I285" s="54" t="s">
        <v>108</v>
      </c>
      <c r="J285" s="54" t="s">
        <v>135</v>
      </c>
      <c r="K285" s="54" t="s">
        <v>136</v>
      </c>
      <c r="L285" s="54" t="s">
        <v>293</v>
      </c>
      <c r="M285" s="3"/>
    </row>
    <row r="286" spans="1:13" hidden="1">
      <c r="A286" s="54">
        <v>285</v>
      </c>
      <c r="B286" s="54" t="s">
        <v>25</v>
      </c>
      <c r="C286" s="54" t="s">
        <v>1025</v>
      </c>
      <c r="D286" s="54" t="s">
        <v>486</v>
      </c>
      <c r="E286" s="54" t="s">
        <v>226</v>
      </c>
      <c r="F286" s="54" t="s">
        <v>79</v>
      </c>
      <c r="G286" s="54" t="s">
        <v>1026</v>
      </c>
      <c r="H286" s="54" t="s">
        <v>1027</v>
      </c>
      <c r="I286" s="54" t="s">
        <v>108</v>
      </c>
      <c r="J286" s="54" t="s">
        <v>130</v>
      </c>
      <c r="K286" s="54" t="s">
        <v>110</v>
      </c>
      <c r="L286" s="54" t="s">
        <v>111</v>
      </c>
      <c r="M286" s="3"/>
    </row>
    <row r="287" spans="1:13" hidden="1">
      <c r="A287" s="54">
        <v>286</v>
      </c>
      <c r="B287" s="54" t="s">
        <v>25</v>
      </c>
      <c r="C287" s="54" t="s">
        <v>1028</v>
      </c>
      <c r="D287" s="54" t="s">
        <v>1029</v>
      </c>
      <c r="E287" s="54" t="s">
        <v>226</v>
      </c>
      <c r="F287" s="54" t="s">
        <v>79</v>
      </c>
      <c r="G287" s="54" t="s">
        <v>1030</v>
      </c>
      <c r="H287" s="54" t="s">
        <v>1031</v>
      </c>
      <c r="I287" s="54" t="s">
        <v>108</v>
      </c>
      <c r="J287" s="54" t="s">
        <v>135</v>
      </c>
      <c r="K287" s="54" t="s">
        <v>136</v>
      </c>
      <c r="L287" s="54" t="s">
        <v>111</v>
      </c>
      <c r="M287" s="3"/>
    </row>
    <row r="288" spans="1:13" hidden="1">
      <c r="A288" s="54">
        <v>287</v>
      </c>
      <c r="B288" s="54" t="s">
        <v>25</v>
      </c>
      <c r="C288" s="54" t="s">
        <v>1032</v>
      </c>
      <c r="D288" s="54" t="s">
        <v>1033</v>
      </c>
      <c r="E288" s="54" t="s">
        <v>226</v>
      </c>
      <c r="F288" s="54" t="s">
        <v>79</v>
      </c>
      <c r="G288" s="54" t="s">
        <v>1034</v>
      </c>
      <c r="H288" s="54" t="s">
        <v>624</v>
      </c>
      <c r="I288" s="54" t="s">
        <v>108</v>
      </c>
      <c r="J288" s="54" t="s">
        <v>135</v>
      </c>
      <c r="K288" s="54" t="s">
        <v>136</v>
      </c>
      <c r="L288" s="54" t="s">
        <v>111</v>
      </c>
      <c r="M288" s="3"/>
    </row>
    <row r="289" spans="1:13" hidden="1">
      <c r="A289" s="54">
        <v>288</v>
      </c>
      <c r="B289" s="54" t="s">
        <v>25</v>
      </c>
      <c r="C289" s="54" t="s">
        <v>1035</v>
      </c>
      <c r="D289" s="54" t="s">
        <v>1036</v>
      </c>
      <c r="E289" s="54" t="s">
        <v>226</v>
      </c>
      <c r="F289" s="54" t="s">
        <v>79</v>
      </c>
      <c r="G289" s="54" t="s">
        <v>1037</v>
      </c>
      <c r="H289" s="54" t="s">
        <v>1038</v>
      </c>
      <c r="I289" s="54" t="s">
        <v>135</v>
      </c>
      <c r="J289" s="54" t="s">
        <v>136</v>
      </c>
      <c r="K289" s="54" t="s">
        <v>150</v>
      </c>
      <c r="L289" s="54" t="s">
        <v>111</v>
      </c>
      <c r="M289" s="3"/>
    </row>
    <row r="290" spans="1:13" hidden="1">
      <c r="A290" s="54">
        <v>289</v>
      </c>
      <c r="B290" s="54" t="s">
        <v>25</v>
      </c>
      <c r="C290" s="54" t="s">
        <v>1039</v>
      </c>
      <c r="D290" s="54" t="s">
        <v>1040</v>
      </c>
      <c r="E290" s="54" t="s">
        <v>226</v>
      </c>
      <c r="F290" s="54" t="s">
        <v>80</v>
      </c>
      <c r="G290" s="54" t="s">
        <v>1041</v>
      </c>
      <c r="H290" s="54" t="s">
        <v>1042</v>
      </c>
      <c r="I290" s="54"/>
      <c r="J290" s="54"/>
      <c r="K290" s="54"/>
      <c r="L290" s="54" t="s">
        <v>122</v>
      </c>
      <c r="M290" s="3"/>
    </row>
    <row r="291" spans="1:13" hidden="1">
      <c r="A291" s="54">
        <v>290</v>
      </c>
      <c r="B291" s="54" t="s">
        <v>25</v>
      </c>
      <c r="C291" s="54" t="s">
        <v>1043</v>
      </c>
      <c r="D291" s="54" t="s">
        <v>1044</v>
      </c>
      <c r="E291" s="54" t="s">
        <v>1045</v>
      </c>
      <c r="F291" s="54" t="s">
        <v>80</v>
      </c>
      <c r="G291" s="55"/>
      <c r="H291" s="55"/>
      <c r="I291" s="55"/>
      <c r="J291" s="54"/>
      <c r="K291" s="54"/>
      <c r="L291" s="54" t="s">
        <v>16</v>
      </c>
      <c r="M291" s="3"/>
    </row>
    <row r="292" spans="1:13" hidden="1">
      <c r="A292" s="54">
        <v>291</v>
      </c>
      <c r="B292" s="54" t="s">
        <v>25</v>
      </c>
      <c r="C292" s="54" t="s">
        <v>1046</v>
      </c>
      <c r="D292" s="54" t="s">
        <v>1047</v>
      </c>
      <c r="E292" s="54" t="s">
        <v>226</v>
      </c>
      <c r="F292" s="54" t="s">
        <v>80</v>
      </c>
      <c r="G292" s="54" t="s">
        <v>1048</v>
      </c>
      <c r="H292" s="54" t="s">
        <v>710</v>
      </c>
      <c r="I292" s="54" t="s">
        <v>108</v>
      </c>
      <c r="J292" s="54" t="s">
        <v>130</v>
      </c>
      <c r="K292" s="54" t="s">
        <v>110</v>
      </c>
      <c r="L292" s="54" t="s">
        <v>117</v>
      </c>
      <c r="M292" s="3"/>
    </row>
    <row r="293" spans="1:13">
      <c r="A293" s="54">
        <v>292</v>
      </c>
      <c r="B293" s="54" t="s">
        <v>28</v>
      </c>
      <c r="C293" s="54" t="s">
        <v>1049</v>
      </c>
      <c r="D293" s="54" t="s">
        <v>1050</v>
      </c>
      <c r="E293" s="54" t="s">
        <v>102</v>
      </c>
      <c r="F293" s="54" t="s">
        <v>81</v>
      </c>
      <c r="G293" s="55"/>
      <c r="H293" s="54"/>
      <c r="I293" s="54"/>
      <c r="J293" s="54"/>
      <c r="K293" s="54"/>
      <c r="L293" s="54" t="s">
        <v>12</v>
      </c>
      <c r="M293" s="3"/>
    </row>
    <row r="294" spans="1:13" hidden="1">
      <c r="A294" s="54">
        <v>293</v>
      </c>
      <c r="B294" s="54" t="s">
        <v>28</v>
      </c>
      <c r="C294" s="54" t="s">
        <v>1051</v>
      </c>
      <c r="D294" s="54" t="s">
        <v>1052</v>
      </c>
      <c r="E294" s="54" t="s">
        <v>143</v>
      </c>
      <c r="F294" s="54" t="s">
        <v>81</v>
      </c>
      <c r="G294" s="54" t="s">
        <v>362</v>
      </c>
      <c r="H294" s="54" t="s">
        <v>359</v>
      </c>
      <c r="I294" s="54"/>
      <c r="J294" s="54"/>
      <c r="K294" s="54"/>
      <c r="L294" s="54" t="s">
        <v>16</v>
      </c>
      <c r="M294" s="3"/>
    </row>
    <row r="295" spans="1:13" hidden="1">
      <c r="A295" s="54">
        <v>294</v>
      </c>
      <c r="B295" s="54" t="s">
        <v>28</v>
      </c>
      <c r="C295" s="54" t="s">
        <v>1053</v>
      </c>
      <c r="D295" s="54" t="s">
        <v>1054</v>
      </c>
      <c r="E295" s="54" t="s">
        <v>102</v>
      </c>
      <c r="F295" s="54" t="s">
        <v>81</v>
      </c>
      <c r="G295" s="54" t="s">
        <v>358</v>
      </c>
      <c r="H295" s="54" t="s">
        <v>664</v>
      </c>
      <c r="I295" s="54" t="s">
        <v>116</v>
      </c>
      <c r="J295" s="54" t="s">
        <v>199</v>
      </c>
      <c r="K295" s="54" t="s">
        <v>110</v>
      </c>
      <c r="L295" s="54" t="s">
        <v>162</v>
      </c>
      <c r="M295" s="3"/>
    </row>
    <row r="296" spans="1:13" hidden="1">
      <c r="A296" s="54">
        <v>295</v>
      </c>
      <c r="B296" s="54" t="s">
        <v>28</v>
      </c>
      <c r="C296" s="54" t="s">
        <v>1055</v>
      </c>
      <c r="D296" s="54" t="s">
        <v>1056</v>
      </c>
      <c r="E296" s="54" t="s">
        <v>143</v>
      </c>
      <c r="F296" s="54" t="s">
        <v>81</v>
      </c>
      <c r="G296" s="54" t="s">
        <v>1057</v>
      </c>
      <c r="H296" s="54" t="s">
        <v>664</v>
      </c>
      <c r="I296" s="54"/>
      <c r="J296" s="54"/>
      <c r="K296" s="54"/>
      <c r="L296" s="54" t="s">
        <v>122</v>
      </c>
      <c r="M296" s="3"/>
    </row>
    <row r="297" spans="1:13" hidden="1">
      <c r="A297" s="54">
        <v>296</v>
      </c>
      <c r="B297" s="54" t="s">
        <v>28</v>
      </c>
      <c r="C297" s="54" t="s">
        <v>1058</v>
      </c>
      <c r="D297" s="54" t="s">
        <v>1059</v>
      </c>
      <c r="E297" s="54" t="s">
        <v>301</v>
      </c>
      <c r="F297" s="54" t="s">
        <v>81</v>
      </c>
      <c r="G297" s="55"/>
      <c r="H297" s="54"/>
      <c r="I297" s="54"/>
      <c r="J297" s="54"/>
      <c r="K297" s="54"/>
      <c r="L297" s="54" t="s">
        <v>122</v>
      </c>
      <c r="M297" s="3"/>
    </row>
    <row r="298" spans="1:13">
      <c r="A298" s="54">
        <v>297</v>
      </c>
      <c r="B298" s="54" t="s">
        <v>28</v>
      </c>
      <c r="C298" s="54" t="s">
        <v>1060</v>
      </c>
      <c r="D298" s="54" t="s">
        <v>1061</v>
      </c>
      <c r="E298" s="54" t="s">
        <v>143</v>
      </c>
      <c r="F298" s="54" t="s">
        <v>81</v>
      </c>
      <c r="G298" s="55"/>
      <c r="H298" s="54"/>
      <c r="I298" s="54"/>
      <c r="J298" s="54"/>
      <c r="K298" s="54"/>
      <c r="L298" s="54" t="s">
        <v>12</v>
      </c>
      <c r="M298" s="3"/>
    </row>
    <row r="299" spans="1:13">
      <c r="A299" s="54">
        <v>298</v>
      </c>
      <c r="B299" s="54" t="s">
        <v>20</v>
      </c>
      <c r="C299" s="54" t="s">
        <v>1062</v>
      </c>
      <c r="D299" s="54" t="s">
        <v>1063</v>
      </c>
      <c r="E299" s="54" t="s">
        <v>102</v>
      </c>
      <c r="F299" s="54" t="s">
        <v>82</v>
      </c>
      <c r="G299" s="55"/>
      <c r="H299" s="55"/>
      <c r="I299" s="55"/>
      <c r="J299" s="55"/>
      <c r="K299" s="54"/>
      <c r="L299" s="54" t="s">
        <v>12</v>
      </c>
      <c r="M299" s="3"/>
    </row>
    <row r="300" spans="1:13">
      <c r="A300" s="54">
        <v>299</v>
      </c>
      <c r="B300" s="54" t="s">
        <v>20</v>
      </c>
      <c r="C300" s="54" t="s">
        <v>1064</v>
      </c>
      <c r="D300" s="54" t="s">
        <v>1065</v>
      </c>
      <c r="E300" s="54" t="s">
        <v>402</v>
      </c>
      <c r="F300" s="54" t="s">
        <v>82</v>
      </c>
      <c r="G300" s="55"/>
      <c r="H300" s="55"/>
      <c r="I300" s="55"/>
      <c r="J300" s="55"/>
      <c r="K300" s="54"/>
      <c r="L300" s="54" t="s">
        <v>12</v>
      </c>
      <c r="M300" s="3"/>
    </row>
    <row r="301" spans="1:13" hidden="1">
      <c r="A301" s="54">
        <v>300</v>
      </c>
      <c r="B301" s="54" t="s">
        <v>20</v>
      </c>
      <c r="C301" s="54" t="s">
        <v>1066</v>
      </c>
      <c r="D301" s="54" t="s">
        <v>1067</v>
      </c>
      <c r="E301" s="54" t="s">
        <v>1068</v>
      </c>
      <c r="F301" s="54" t="s">
        <v>82</v>
      </c>
      <c r="G301" s="54" t="s">
        <v>1069</v>
      </c>
      <c r="H301" s="54" t="s">
        <v>1070</v>
      </c>
      <c r="I301" s="54" t="s">
        <v>108</v>
      </c>
      <c r="J301" s="54" t="s">
        <v>135</v>
      </c>
      <c r="K301" s="54" t="s">
        <v>136</v>
      </c>
      <c r="L301" s="54" t="s">
        <v>111</v>
      </c>
      <c r="M301" s="3"/>
    </row>
    <row r="302" spans="1:13">
      <c r="A302" s="54">
        <v>301</v>
      </c>
      <c r="B302" s="54" t="s">
        <v>20</v>
      </c>
      <c r="C302" s="54" t="s">
        <v>1071</v>
      </c>
      <c r="D302" s="54" t="s">
        <v>1072</v>
      </c>
      <c r="E302" s="54" t="s">
        <v>177</v>
      </c>
      <c r="F302" s="54" t="s">
        <v>82</v>
      </c>
      <c r="G302" s="55"/>
      <c r="H302" s="55"/>
      <c r="I302" s="55"/>
      <c r="J302" s="55"/>
      <c r="K302" s="54"/>
      <c r="L302" s="54" t="s">
        <v>12</v>
      </c>
      <c r="M302" s="3"/>
    </row>
    <row r="303" spans="1:13" hidden="1">
      <c r="A303" s="54">
        <v>302</v>
      </c>
      <c r="B303" s="54" t="s">
        <v>20</v>
      </c>
      <c r="C303" s="54" t="s">
        <v>1073</v>
      </c>
      <c r="D303" s="54" t="s">
        <v>1074</v>
      </c>
      <c r="E303" s="54" t="s">
        <v>102</v>
      </c>
      <c r="F303" s="54" t="s">
        <v>82</v>
      </c>
      <c r="G303" s="54" t="s">
        <v>1075</v>
      </c>
      <c r="H303" s="54" t="s">
        <v>1076</v>
      </c>
      <c r="I303" s="54" t="s">
        <v>108</v>
      </c>
      <c r="J303" s="54" t="s">
        <v>109</v>
      </c>
      <c r="K303" s="54" t="s">
        <v>110</v>
      </c>
      <c r="L303" s="54" t="s">
        <v>298</v>
      </c>
      <c r="M303" s="3"/>
    </row>
    <row r="304" spans="1:13" hidden="1">
      <c r="A304" s="54">
        <v>303</v>
      </c>
      <c r="B304" s="54" t="s">
        <v>20</v>
      </c>
      <c r="C304" s="54" t="s">
        <v>1077</v>
      </c>
      <c r="D304" s="54" t="s">
        <v>1078</v>
      </c>
      <c r="E304" s="54" t="s">
        <v>102</v>
      </c>
      <c r="F304" s="54" t="s">
        <v>82</v>
      </c>
      <c r="G304" s="54" t="s">
        <v>1079</v>
      </c>
      <c r="H304" s="54" t="s">
        <v>384</v>
      </c>
      <c r="I304" s="54" t="s">
        <v>108</v>
      </c>
      <c r="J304" s="54" t="s">
        <v>135</v>
      </c>
      <c r="K304" s="54" t="s">
        <v>136</v>
      </c>
      <c r="L304" s="54" t="s">
        <v>111</v>
      </c>
      <c r="M304" s="3"/>
    </row>
    <row r="305" spans="1:13" hidden="1">
      <c r="A305" s="54">
        <v>304</v>
      </c>
      <c r="B305" s="54" t="s">
        <v>20</v>
      </c>
      <c r="C305" s="54" t="s">
        <v>1080</v>
      </c>
      <c r="D305" s="54" t="s">
        <v>1081</v>
      </c>
      <c r="E305" s="54" t="s">
        <v>102</v>
      </c>
      <c r="F305" s="54" t="s">
        <v>82</v>
      </c>
      <c r="G305" s="54" t="s">
        <v>1082</v>
      </c>
      <c r="H305" s="54" t="s">
        <v>1083</v>
      </c>
      <c r="I305" s="54" t="s">
        <v>108</v>
      </c>
      <c r="J305" s="54" t="s">
        <v>135</v>
      </c>
      <c r="K305" s="54" t="s">
        <v>136</v>
      </c>
      <c r="L305" s="54" t="s">
        <v>111</v>
      </c>
      <c r="M305" s="3"/>
    </row>
    <row r="306" spans="1:13" hidden="1">
      <c r="A306" s="54">
        <v>305</v>
      </c>
      <c r="B306" s="54" t="s">
        <v>20</v>
      </c>
      <c r="C306" s="54" t="s">
        <v>1084</v>
      </c>
      <c r="D306" s="54" t="s">
        <v>1085</v>
      </c>
      <c r="E306" s="54" t="s">
        <v>102</v>
      </c>
      <c r="F306" s="54" t="s">
        <v>82</v>
      </c>
      <c r="G306" s="54" t="s">
        <v>1086</v>
      </c>
      <c r="H306" s="54" t="s">
        <v>1087</v>
      </c>
      <c r="I306" s="54" t="s">
        <v>108</v>
      </c>
      <c r="J306" s="54" t="s">
        <v>135</v>
      </c>
      <c r="K306" s="54" t="s">
        <v>136</v>
      </c>
      <c r="L306" s="54" t="s">
        <v>111</v>
      </c>
      <c r="M306" s="3"/>
    </row>
    <row r="307" spans="1:13" hidden="1">
      <c r="A307" s="54">
        <v>306</v>
      </c>
      <c r="B307" s="54" t="s">
        <v>20</v>
      </c>
      <c r="C307" s="54" t="s">
        <v>1088</v>
      </c>
      <c r="D307" s="54" t="s">
        <v>1089</v>
      </c>
      <c r="E307" s="54" t="s">
        <v>102</v>
      </c>
      <c r="F307" s="54" t="s">
        <v>82</v>
      </c>
      <c r="G307" s="54" t="s">
        <v>1090</v>
      </c>
      <c r="H307" s="54" t="s">
        <v>1091</v>
      </c>
      <c r="I307" s="54" t="s">
        <v>135</v>
      </c>
      <c r="J307" s="54" t="s">
        <v>136</v>
      </c>
      <c r="K307" s="54" t="s">
        <v>150</v>
      </c>
      <c r="L307" s="54" t="s">
        <v>111</v>
      </c>
      <c r="M307" s="3"/>
    </row>
    <row r="308" spans="1:13" hidden="1">
      <c r="A308" s="54">
        <v>307</v>
      </c>
      <c r="B308" s="54" t="s">
        <v>20</v>
      </c>
      <c r="C308" s="54" t="s">
        <v>1092</v>
      </c>
      <c r="D308" s="54" t="s">
        <v>1093</v>
      </c>
      <c r="E308" s="54" t="s">
        <v>102</v>
      </c>
      <c r="F308" s="54" t="s">
        <v>82</v>
      </c>
      <c r="G308" s="54" t="s">
        <v>1094</v>
      </c>
      <c r="H308" s="54" t="s">
        <v>1095</v>
      </c>
      <c r="I308" s="54" t="s">
        <v>108</v>
      </c>
      <c r="J308" s="54" t="s">
        <v>130</v>
      </c>
      <c r="K308" s="54" t="s">
        <v>110</v>
      </c>
      <c r="L308" s="54" t="s">
        <v>162</v>
      </c>
      <c r="M308" s="3"/>
    </row>
    <row r="309" spans="1:13" hidden="1">
      <c r="A309" s="54">
        <v>308</v>
      </c>
      <c r="B309" s="54" t="s">
        <v>20</v>
      </c>
      <c r="C309" s="54" t="s">
        <v>1096</v>
      </c>
      <c r="D309" s="54" t="s">
        <v>1097</v>
      </c>
      <c r="E309" s="54" t="s">
        <v>159</v>
      </c>
      <c r="F309" s="54" t="s">
        <v>82</v>
      </c>
      <c r="G309" s="54" t="s">
        <v>1098</v>
      </c>
      <c r="H309" s="54" t="s">
        <v>1099</v>
      </c>
      <c r="I309" s="54"/>
      <c r="J309" s="54"/>
      <c r="K309" s="54"/>
      <c r="L309" s="54" t="s">
        <v>16</v>
      </c>
      <c r="M309" s="3"/>
    </row>
    <row r="310" spans="1:13" hidden="1">
      <c r="A310" s="54">
        <v>309</v>
      </c>
      <c r="B310" s="54" t="s">
        <v>20</v>
      </c>
      <c r="C310" s="54" t="s">
        <v>1100</v>
      </c>
      <c r="D310" s="54" t="s">
        <v>1101</v>
      </c>
      <c r="E310" s="54" t="s">
        <v>105</v>
      </c>
      <c r="F310" s="54" t="s">
        <v>82</v>
      </c>
      <c r="G310" s="54" t="s">
        <v>1102</v>
      </c>
      <c r="H310" s="54" t="s">
        <v>1070</v>
      </c>
      <c r="I310" s="54" t="s">
        <v>108</v>
      </c>
      <c r="J310" s="54" t="s">
        <v>135</v>
      </c>
      <c r="K310" s="54" t="s">
        <v>136</v>
      </c>
      <c r="L310" s="54" t="s">
        <v>162</v>
      </c>
      <c r="M310" s="3"/>
    </row>
    <row r="311" spans="1:13" hidden="1">
      <c r="A311" s="54">
        <v>310</v>
      </c>
      <c r="B311" s="54" t="s">
        <v>20</v>
      </c>
      <c r="C311" s="54" t="s">
        <v>1103</v>
      </c>
      <c r="D311" s="54" t="s">
        <v>1104</v>
      </c>
      <c r="E311" s="54" t="s">
        <v>1105</v>
      </c>
      <c r="F311" s="54" t="s">
        <v>82</v>
      </c>
      <c r="G311" s="54" t="s">
        <v>557</v>
      </c>
      <c r="H311" s="54" t="s">
        <v>1106</v>
      </c>
      <c r="I311" s="54" t="s">
        <v>108</v>
      </c>
      <c r="J311" s="54" t="s">
        <v>130</v>
      </c>
      <c r="K311" s="54" t="s">
        <v>110</v>
      </c>
      <c r="L311" s="54" t="s">
        <v>117</v>
      </c>
      <c r="M311" s="3"/>
    </row>
    <row r="312" spans="1:13" hidden="1">
      <c r="A312" s="54">
        <v>311</v>
      </c>
      <c r="B312" s="54" t="s">
        <v>20</v>
      </c>
      <c r="C312" s="54" t="s">
        <v>1107</v>
      </c>
      <c r="D312" s="54" t="s">
        <v>1108</v>
      </c>
      <c r="E312" s="54" t="s">
        <v>102</v>
      </c>
      <c r="F312" s="54" t="s">
        <v>82</v>
      </c>
      <c r="G312" s="54" t="s">
        <v>1109</v>
      </c>
      <c r="H312" s="54" t="s">
        <v>955</v>
      </c>
      <c r="I312" s="54" t="s">
        <v>108</v>
      </c>
      <c r="J312" s="54" t="s">
        <v>109</v>
      </c>
      <c r="K312" s="54" t="s">
        <v>110</v>
      </c>
      <c r="L312" s="54" t="s">
        <v>293</v>
      </c>
      <c r="M312" s="3"/>
    </row>
    <row r="313" spans="1:13">
      <c r="A313" s="54">
        <v>312</v>
      </c>
      <c r="B313" s="54" t="s">
        <v>20</v>
      </c>
      <c r="C313" s="54" t="s">
        <v>1110</v>
      </c>
      <c r="D313" s="54" t="s">
        <v>1111</v>
      </c>
      <c r="E313" s="54" t="s">
        <v>1112</v>
      </c>
      <c r="F313" s="54" t="s">
        <v>82</v>
      </c>
      <c r="G313" s="55"/>
      <c r="H313" s="55"/>
      <c r="I313" s="55"/>
      <c r="J313" s="55"/>
      <c r="K313" s="54"/>
      <c r="L313" s="54" t="s">
        <v>12</v>
      </c>
      <c r="M313" s="3"/>
    </row>
    <row r="314" spans="1:13" hidden="1">
      <c r="A314" s="54">
        <v>313</v>
      </c>
      <c r="B314" s="54" t="s">
        <v>20</v>
      </c>
      <c r="C314" s="54" t="s">
        <v>1113</v>
      </c>
      <c r="D314" s="54" t="s">
        <v>1114</v>
      </c>
      <c r="E314" s="54" t="s">
        <v>102</v>
      </c>
      <c r="F314" s="54" t="s">
        <v>82</v>
      </c>
      <c r="G314" s="54" t="s">
        <v>1115</v>
      </c>
      <c r="H314" s="54" t="s">
        <v>1116</v>
      </c>
      <c r="I314" s="54" t="s">
        <v>108</v>
      </c>
      <c r="J314" s="54" t="s">
        <v>130</v>
      </c>
      <c r="K314" s="54" t="s">
        <v>110</v>
      </c>
      <c r="L314" s="54" t="s">
        <v>293</v>
      </c>
      <c r="M314" s="3"/>
    </row>
    <row r="315" spans="1:13">
      <c r="A315" s="54">
        <v>314</v>
      </c>
      <c r="B315" s="54" t="s">
        <v>20</v>
      </c>
      <c r="C315" s="54" t="s">
        <v>1117</v>
      </c>
      <c r="D315" s="54" t="s">
        <v>1118</v>
      </c>
      <c r="E315" s="54" t="s">
        <v>436</v>
      </c>
      <c r="F315" s="54" t="s">
        <v>82</v>
      </c>
      <c r="G315" s="55"/>
      <c r="H315" s="55"/>
      <c r="I315" s="55"/>
      <c r="J315" s="55"/>
      <c r="K315" s="54"/>
      <c r="L315" s="54" t="s">
        <v>12</v>
      </c>
      <c r="M315" s="3"/>
    </row>
    <row r="316" spans="1:13" hidden="1">
      <c r="A316" s="54">
        <v>315</v>
      </c>
      <c r="B316" s="54" t="s">
        <v>20</v>
      </c>
      <c r="C316" s="54" t="s">
        <v>1119</v>
      </c>
      <c r="D316" s="54" t="s">
        <v>1120</v>
      </c>
      <c r="E316" s="54" t="s">
        <v>287</v>
      </c>
      <c r="F316" s="54" t="s">
        <v>82</v>
      </c>
      <c r="G316" s="54" t="s">
        <v>1121</v>
      </c>
      <c r="H316" s="54" t="s">
        <v>1122</v>
      </c>
      <c r="I316" s="54" t="s">
        <v>116</v>
      </c>
      <c r="J316" s="54" t="s">
        <v>109</v>
      </c>
      <c r="K316" s="54" t="s">
        <v>110</v>
      </c>
      <c r="L316" s="54" t="s">
        <v>117</v>
      </c>
      <c r="M316" s="3"/>
    </row>
    <row r="317" spans="1:13" hidden="1">
      <c r="A317" s="54">
        <v>316</v>
      </c>
      <c r="B317" s="54" t="s">
        <v>20</v>
      </c>
      <c r="C317" s="54" t="s">
        <v>1123</v>
      </c>
      <c r="D317" s="54" t="s">
        <v>1124</v>
      </c>
      <c r="E317" s="54" t="s">
        <v>102</v>
      </c>
      <c r="F317" s="54" t="s">
        <v>82</v>
      </c>
      <c r="G317" s="54" t="s">
        <v>1125</v>
      </c>
      <c r="H317" s="54" t="s">
        <v>564</v>
      </c>
      <c r="I317" s="54" t="s">
        <v>108</v>
      </c>
      <c r="J317" s="54" t="s">
        <v>130</v>
      </c>
      <c r="K317" s="54" t="s">
        <v>110</v>
      </c>
      <c r="L317" s="54" t="s">
        <v>293</v>
      </c>
      <c r="M317" s="3"/>
    </row>
    <row r="318" spans="1:13" hidden="1">
      <c r="A318" s="54">
        <v>317</v>
      </c>
      <c r="B318" s="54" t="s">
        <v>20</v>
      </c>
      <c r="C318" s="54" t="s">
        <v>1126</v>
      </c>
      <c r="D318" s="54" t="s">
        <v>1127</v>
      </c>
      <c r="E318" s="54" t="s">
        <v>1105</v>
      </c>
      <c r="F318" s="54" t="s">
        <v>82</v>
      </c>
      <c r="G318" s="54" t="s">
        <v>1128</v>
      </c>
      <c r="H318" s="54" t="s">
        <v>1129</v>
      </c>
      <c r="I318" s="54" t="s">
        <v>108</v>
      </c>
      <c r="J318" s="54" t="s">
        <v>109</v>
      </c>
      <c r="K318" s="54" t="s">
        <v>110</v>
      </c>
      <c r="L318" s="54" t="s">
        <v>117</v>
      </c>
      <c r="M318" s="3"/>
    </row>
    <row r="319" spans="1:13" hidden="1">
      <c r="A319" s="54">
        <v>318</v>
      </c>
      <c r="B319" s="54" t="s">
        <v>20</v>
      </c>
      <c r="C319" s="54" t="s">
        <v>1130</v>
      </c>
      <c r="D319" s="54" t="s">
        <v>1131</v>
      </c>
      <c r="E319" s="54" t="s">
        <v>102</v>
      </c>
      <c r="F319" s="54" t="s">
        <v>82</v>
      </c>
      <c r="G319" s="54" t="s">
        <v>1132</v>
      </c>
      <c r="H319" s="54" t="s">
        <v>161</v>
      </c>
      <c r="I319" s="54" t="s">
        <v>108</v>
      </c>
      <c r="J319" s="54" t="s">
        <v>135</v>
      </c>
      <c r="K319" s="54" t="s">
        <v>136</v>
      </c>
      <c r="L319" s="54" t="s">
        <v>293</v>
      </c>
      <c r="M319" s="3"/>
    </row>
    <row r="320" spans="1:13" hidden="1">
      <c r="A320" s="54">
        <v>319</v>
      </c>
      <c r="B320" s="54" t="s">
        <v>32</v>
      </c>
      <c r="C320" s="54" t="s">
        <v>1133</v>
      </c>
      <c r="D320" s="54" t="s">
        <v>1134</v>
      </c>
      <c r="E320" s="54" t="s">
        <v>613</v>
      </c>
      <c r="F320" s="54" t="s">
        <v>83</v>
      </c>
      <c r="G320" s="54" t="s">
        <v>1135</v>
      </c>
      <c r="H320" s="54" t="s">
        <v>664</v>
      </c>
      <c r="I320" s="54" t="s">
        <v>108</v>
      </c>
      <c r="J320" s="54" t="s">
        <v>130</v>
      </c>
      <c r="K320" s="54" t="s">
        <v>110</v>
      </c>
      <c r="L320" s="54" t="s">
        <v>162</v>
      </c>
      <c r="M320" s="3"/>
    </row>
    <row r="321" spans="1:13" hidden="1">
      <c r="A321" s="54">
        <v>320</v>
      </c>
      <c r="B321" s="54" t="s">
        <v>32</v>
      </c>
      <c r="C321" s="54" t="s">
        <v>1136</v>
      </c>
      <c r="D321" s="54" t="s">
        <v>1137</v>
      </c>
      <c r="E321" s="54" t="s">
        <v>143</v>
      </c>
      <c r="F321" s="54" t="s">
        <v>83</v>
      </c>
      <c r="G321" s="54" t="s">
        <v>1138</v>
      </c>
      <c r="H321" s="54" t="s">
        <v>807</v>
      </c>
      <c r="I321" s="54" t="s">
        <v>108</v>
      </c>
      <c r="J321" s="54" t="s">
        <v>135</v>
      </c>
      <c r="K321" s="54" t="s">
        <v>136</v>
      </c>
      <c r="L321" s="54" t="s">
        <v>111</v>
      </c>
      <c r="M321" s="3"/>
    </row>
    <row r="322" spans="1:13" hidden="1">
      <c r="A322" s="54">
        <v>321</v>
      </c>
      <c r="B322" s="54" t="s">
        <v>32</v>
      </c>
      <c r="C322" s="54" t="s">
        <v>1139</v>
      </c>
      <c r="D322" s="54" t="s">
        <v>1140</v>
      </c>
      <c r="E322" s="54" t="s">
        <v>159</v>
      </c>
      <c r="F322" s="54" t="s">
        <v>83</v>
      </c>
      <c r="G322" s="55"/>
      <c r="H322" s="55"/>
      <c r="I322" s="55"/>
      <c r="J322" s="55"/>
      <c r="K322" s="54"/>
      <c r="L322" s="54" t="s">
        <v>16</v>
      </c>
      <c r="M322" s="3"/>
    </row>
    <row r="323" spans="1:13" hidden="1">
      <c r="A323" s="54">
        <v>322</v>
      </c>
      <c r="B323" s="54" t="s">
        <v>32</v>
      </c>
      <c r="C323" s="54" t="s">
        <v>1141</v>
      </c>
      <c r="D323" s="54" t="s">
        <v>1142</v>
      </c>
      <c r="E323" s="54" t="s">
        <v>231</v>
      </c>
      <c r="F323" s="54" t="s">
        <v>83</v>
      </c>
      <c r="G323" s="54" t="s">
        <v>476</v>
      </c>
      <c r="H323" s="54" t="s">
        <v>456</v>
      </c>
      <c r="I323" s="54" t="s">
        <v>108</v>
      </c>
      <c r="J323" s="54" t="s">
        <v>135</v>
      </c>
      <c r="K323" s="54" t="s">
        <v>136</v>
      </c>
      <c r="L323" s="54" t="s">
        <v>111</v>
      </c>
      <c r="M323" s="3"/>
    </row>
    <row r="324" spans="1:13" hidden="1">
      <c r="A324" s="54">
        <v>323</v>
      </c>
      <c r="B324" s="54" t="s">
        <v>32</v>
      </c>
      <c r="C324" s="54" t="s">
        <v>1143</v>
      </c>
      <c r="D324" s="54" t="s">
        <v>1144</v>
      </c>
      <c r="E324" s="54" t="s">
        <v>226</v>
      </c>
      <c r="F324" s="54" t="s">
        <v>83</v>
      </c>
      <c r="G324" s="55"/>
      <c r="H324" s="55"/>
      <c r="I324" s="54" t="s">
        <v>186</v>
      </c>
      <c r="J324" s="54" t="s">
        <v>187</v>
      </c>
      <c r="K324" s="54"/>
      <c r="L324" s="54" t="s">
        <v>188</v>
      </c>
      <c r="M324" s="3"/>
    </row>
    <row r="325" spans="1:13" hidden="1">
      <c r="A325" s="54">
        <v>324</v>
      </c>
      <c r="B325" s="54" t="s">
        <v>32</v>
      </c>
      <c r="C325" s="54" t="s">
        <v>1145</v>
      </c>
      <c r="D325" s="54" t="s">
        <v>1146</v>
      </c>
      <c r="E325" s="54" t="s">
        <v>402</v>
      </c>
      <c r="F325" s="54" t="s">
        <v>83</v>
      </c>
      <c r="G325" s="54" t="s">
        <v>1147</v>
      </c>
      <c r="H325" s="54" t="s">
        <v>1148</v>
      </c>
      <c r="I325" s="54" t="s">
        <v>116</v>
      </c>
      <c r="J325" s="54" t="s">
        <v>109</v>
      </c>
      <c r="K325" s="54" t="s">
        <v>110</v>
      </c>
      <c r="L325" s="54" t="s">
        <v>117</v>
      </c>
      <c r="M325" s="3"/>
    </row>
    <row r="326" spans="1:13" hidden="1">
      <c r="A326" s="54">
        <v>325</v>
      </c>
      <c r="B326" s="54" t="s">
        <v>20</v>
      </c>
      <c r="C326" s="54" t="s">
        <v>1149</v>
      </c>
      <c r="D326" s="54" t="s">
        <v>1150</v>
      </c>
      <c r="E326" s="54" t="s">
        <v>1151</v>
      </c>
      <c r="F326" s="54" t="s">
        <v>84</v>
      </c>
      <c r="G326" s="54" t="s">
        <v>1152</v>
      </c>
      <c r="H326" s="54" t="s">
        <v>1153</v>
      </c>
      <c r="I326" s="54"/>
      <c r="J326" s="54"/>
      <c r="K326" s="54"/>
      <c r="L326" s="54" t="s">
        <v>122</v>
      </c>
      <c r="M326" s="3"/>
    </row>
    <row r="327" spans="1:13" hidden="1">
      <c r="A327" s="54">
        <v>326</v>
      </c>
      <c r="B327" s="54" t="s">
        <v>20</v>
      </c>
      <c r="C327" s="54" t="s">
        <v>1154</v>
      </c>
      <c r="D327" s="54" t="s">
        <v>1155</v>
      </c>
      <c r="E327" s="54" t="s">
        <v>1156</v>
      </c>
      <c r="F327" s="54" t="s">
        <v>84</v>
      </c>
      <c r="G327" s="54" t="s">
        <v>1157</v>
      </c>
      <c r="H327" s="54" t="s">
        <v>1158</v>
      </c>
      <c r="I327" s="54" t="s">
        <v>198</v>
      </c>
      <c r="J327" s="54" t="s">
        <v>199</v>
      </c>
      <c r="K327" s="54" t="s">
        <v>200</v>
      </c>
      <c r="L327" s="54" t="s">
        <v>111</v>
      </c>
      <c r="M327" s="3"/>
    </row>
    <row r="328" spans="1:13" hidden="1">
      <c r="A328" s="54">
        <v>327</v>
      </c>
      <c r="B328" s="54" t="s">
        <v>20</v>
      </c>
      <c r="C328" s="54" t="s">
        <v>1159</v>
      </c>
      <c r="D328" s="54" t="s">
        <v>1160</v>
      </c>
      <c r="E328" s="54" t="s">
        <v>1161</v>
      </c>
      <c r="F328" s="54" t="s">
        <v>84</v>
      </c>
      <c r="G328" s="54" t="s">
        <v>1162</v>
      </c>
      <c r="H328" s="54" t="s">
        <v>1163</v>
      </c>
      <c r="I328" s="54" t="s">
        <v>135</v>
      </c>
      <c r="J328" s="54" t="s">
        <v>136</v>
      </c>
      <c r="K328" s="54" t="s">
        <v>150</v>
      </c>
      <c r="L328" s="54" t="s">
        <v>111</v>
      </c>
      <c r="M328" s="3"/>
    </row>
    <row r="329" spans="1:13" hidden="1">
      <c r="A329" s="54">
        <v>328</v>
      </c>
      <c r="B329" s="54" t="s">
        <v>20</v>
      </c>
      <c r="C329" s="54" t="s">
        <v>1164</v>
      </c>
      <c r="D329" s="54" t="s">
        <v>1165</v>
      </c>
      <c r="E329" s="54" t="s">
        <v>1166</v>
      </c>
      <c r="F329" s="54" t="s">
        <v>84</v>
      </c>
      <c r="G329" s="54" t="s">
        <v>1167</v>
      </c>
      <c r="H329" s="54" t="s">
        <v>1168</v>
      </c>
      <c r="I329" s="54" t="s">
        <v>108</v>
      </c>
      <c r="J329" s="54" t="s">
        <v>135</v>
      </c>
      <c r="K329" s="54" t="s">
        <v>136</v>
      </c>
      <c r="L329" s="54" t="s">
        <v>293</v>
      </c>
      <c r="M329" s="3"/>
    </row>
    <row r="330" spans="1:13" hidden="1">
      <c r="A330" s="54">
        <v>329</v>
      </c>
      <c r="B330" s="54" t="s">
        <v>20</v>
      </c>
      <c r="C330" s="54" t="s">
        <v>1169</v>
      </c>
      <c r="D330" s="54" t="s">
        <v>1170</v>
      </c>
      <c r="E330" s="54" t="s">
        <v>1161</v>
      </c>
      <c r="F330" s="54" t="s">
        <v>84</v>
      </c>
      <c r="G330" s="54" t="s">
        <v>1171</v>
      </c>
      <c r="H330" s="54" t="s">
        <v>1158</v>
      </c>
      <c r="I330" s="54"/>
      <c r="J330" s="54"/>
      <c r="K330" s="54"/>
      <c r="L330" s="54" t="s">
        <v>122</v>
      </c>
      <c r="M330" s="3"/>
    </row>
    <row r="331" spans="1:13" hidden="1">
      <c r="A331" s="54">
        <v>330</v>
      </c>
      <c r="B331" s="54" t="s">
        <v>20</v>
      </c>
      <c r="C331" s="54" t="s">
        <v>1172</v>
      </c>
      <c r="D331" s="54" t="s">
        <v>1173</v>
      </c>
      <c r="E331" s="54" t="s">
        <v>1174</v>
      </c>
      <c r="F331" s="54" t="s">
        <v>84</v>
      </c>
      <c r="G331" s="54" t="s">
        <v>1175</v>
      </c>
      <c r="H331" s="54" t="s">
        <v>121</v>
      </c>
      <c r="I331" s="54" t="s">
        <v>108</v>
      </c>
      <c r="J331" s="54" t="s">
        <v>130</v>
      </c>
      <c r="K331" s="54" t="s">
        <v>110</v>
      </c>
      <c r="L331" s="54" t="s">
        <v>111</v>
      </c>
      <c r="M331" s="3"/>
    </row>
    <row r="332" spans="1:13" hidden="1">
      <c r="A332" s="54">
        <v>331</v>
      </c>
      <c r="B332" s="54" t="s">
        <v>25</v>
      </c>
      <c r="C332" s="54" t="s">
        <v>1176</v>
      </c>
      <c r="D332" s="54" t="s">
        <v>1177</v>
      </c>
      <c r="E332" s="54" t="s">
        <v>226</v>
      </c>
      <c r="F332" s="54" t="s">
        <v>85</v>
      </c>
      <c r="G332" s="54" t="s">
        <v>479</v>
      </c>
      <c r="H332" s="54" t="s">
        <v>1178</v>
      </c>
      <c r="I332" s="54" t="s">
        <v>135</v>
      </c>
      <c r="J332" s="54" t="s">
        <v>136</v>
      </c>
      <c r="K332" s="54" t="s">
        <v>150</v>
      </c>
      <c r="L332" s="54" t="s">
        <v>117</v>
      </c>
      <c r="M332" s="3"/>
    </row>
    <row r="333" spans="1:13" hidden="1">
      <c r="A333" s="54">
        <v>332</v>
      </c>
      <c r="B333" s="54" t="s">
        <v>25</v>
      </c>
      <c r="C333" s="54" t="s">
        <v>1179</v>
      </c>
      <c r="D333" s="54" t="s">
        <v>1180</v>
      </c>
      <c r="E333" s="54" t="s">
        <v>1181</v>
      </c>
      <c r="F333" s="54" t="s">
        <v>85</v>
      </c>
      <c r="G333" s="54" t="s">
        <v>1182</v>
      </c>
      <c r="H333" s="54" t="s">
        <v>710</v>
      </c>
      <c r="I333" s="54" t="s">
        <v>108</v>
      </c>
      <c r="J333" s="54" t="s">
        <v>130</v>
      </c>
      <c r="K333" s="54" t="s">
        <v>110</v>
      </c>
      <c r="L333" s="54" t="s">
        <v>111</v>
      </c>
      <c r="M333" s="3"/>
    </row>
    <row r="334" spans="1:13" hidden="1">
      <c r="A334" s="54">
        <v>333</v>
      </c>
      <c r="B334" s="54" t="s">
        <v>25</v>
      </c>
      <c r="C334" s="54" t="s">
        <v>1183</v>
      </c>
      <c r="D334" s="54" t="s">
        <v>1184</v>
      </c>
      <c r="E334" s="54" t="s">
        <v>226</v>
      </c>
      <c r="F334" s="54" t="s">
        <v>85</v>
      </c>
      <c r="G334" s="55"/>
      <c r="H334" s="55"/>
      <c r="I334" s="55"/>
      <c r="J334" s="54"/>
      <c r="K334" s="54"/>
      <c r="L334" s="54" t="s">
        <v>122</v>
      </c>
      <c r="M334" s="3"/>
    </row>
    <row r="335" spans="1:13" hidden="1">
      <c r="A335" s="54">
        <v>334</v>
      </c>
      <c r="B335" s="54" t="s">
        <v>25</v>
      </c>
      <c r="C335" s="54" t="s">
        <v>1185</v>
      </c>
      <c r="D335" s="54" t="s">
        <v>1186</v>
      </c>
      <c r="E335" s="54" t="s">
        <v>1187</v>
      </c>
      <c r="F335" s="54" t="s">
        <v>85</v>
      </c>
      <c r="G335" s="54" t="s">
        <v>1188</v>
      </c>
      <c r="H335" s="54" t="s">
        <v>1189</v>
      </c>
      <c r="I335" s="54" t="s">
        <v>108</v>
      </c>
      <c r="J335" s="54" t="s">
        <v>135</v>
      </c>
      <c r="K335" s="54" t="s">
        <v>136</v>
      </c>
      <c r="L335" s="54" t="s">
        <v>117</v>
      </c>
      <c r="M335" s="3"/>
    </row>
    <row r="336" spans="1:13" hidden="1">
      <c r="A336" s="54">
        <v>335</v>
      </c>
      <c r="B336" s="54" t="s">
        <v>25</v>
      </c>
      <c r="C336" s="54" t="s">
        <v>1190</v>
      </c>
      <c r="D336" s="54" t="s">
        <v>1191</v>
      </c>
      <c r="E336" s="54" t="s">
        <v>226</v>
      </c>
      <c r="F336" s="54" t="s">
        <v>85</v>
      </c>
      <c r="G336" s="54" t="s">
        <v>1004</v>
      </c>
      <c r="H336" s="54" t="s">
        <v>807</v>
      </c>
      <c r="I336" s="54"/>
      <c r="J336" s="54"/>
      <c r="K336" s="54"/>
      <c r="L336" s="54" t="s">
        <v>122</v>
      </c>
    </row>
    <row r="337" spans="1:13" hidden="1">
      <c r="A337" s="54">
        <v>336</v>
      </c>
      <c r="B337" s="54" t="s">
        <v>25</v>
      </c>
      <c r="C337" s="54" t="s">
        <v>1192</v>
      </c>
      <c r="D337" s="54" t="s">
        <v>1193</v>
      </c>
      <c r="E337" s="54" t="s">
        <v>276</v>
      </c>
      <c r="F337" s="54" t="s">
        <v>85</v>
      </c>
      <c r="G337" s="54" t="s">
        <v>272</v>
      </c>
      <c r="H337" s="54" t="s">
        <v>724</v>
      </c>
      <c r="I337" s="54" t="s">
        <v>135</v>
      </c>
      <c r="J337" s="54" t="s">
        <v>136</v>
      </c>
      <c r="K337" s="54" t="s">
        <v>150</v>
      </c>
      <c r="L337" s="54" t="s">
        <v>117</v>
      </c>
      <c r="M337" s="3"/>
    </row>
    <row r="338" spans="1:13" hidden="1">
      <c r="A338" s="54">
        <v>337</v>
      </c>
      <c r="B338" s="54" t="s">
        <v>25</v>
      </c>
      <c r="C338" s="54" t="s">
        <v>1194</v>
      </c>
      <c r="D338" s="54" t="s">
        <v>1195</v>
      </c>
      <c r="E338" s="54" t="s">
        <v>226</v>
      </c>
      <c r="F338" s="54" t="s">
        <v>85</v>
      </c>
      <c r="G338" s="54" t="s">
        <v>1196</v>
      </c>
      <c r="H338" s="54" t="s">
        <v>724</v>
      </c>
      <c r="I338" s="54" t="s">
        <v>186</v>
      </c>
      <c r="J338" s="54" t="s">
        <v>187</v>
      </c>
      <c r="K338" s="54"/>
      <c r="L338" s="54" t="s">
        <v>188</v>
      </c>
      <c r="M338" s="3"/>
    </row>
    <row r="339" spans="1:13" hidden="1">
      <c r="A339" s="54">
        <v>338</v>
      </c>
      <c r="B339" s="54" t="s">
        <v>25</v>
      </c>
      <c r="C339" s="54" t="s">
        <v>1197</v>
      </c>
      <c r="D339" s="54" t="s">
        <v>1198</v>
      </c>
      <c r="E339" s="54" t="s">
        <v>231</v>
      </c>
      <c r="F339" s="54" t="s">
        <v>85</v>
      </c>
      <c r="G339" s="55"/>
      <c r="H339" s="55"/>
      <c r="I339" s="55"/>
      <c r="J339" s="54"/>
      <c r="K339" s="54"/>
      <c r="L339" s="54" t="s">
        <v>122</v>
      </c>
      <c r="M339" s="3"/>
    </row>
    <row r="340" spans="1:13" hidden="1">
      <c r="A340" s="54">
        <v>339</v>
      </c>
      <c r="B340" s="54" t="s">
        <v>25</v>
      </c>
      <c r="C340" s="54" t="s">
        <v>1199</v>
      </c>
      <c r="D340" s="54" t="s">
        <v>1200</v>
      </c>
      <c r="E340" s="54" t="s">
        <v>226</v>
      </c>
      <c r="F340" s="54" t="s">
        <v>85</v>
      </c>
      <c r="G340" s="54" t="s">
        <v>1201</v>
      </c>
      <c r="H340" s="54" t="s">
        <v>397</v>
      </c>
      <c r="I340" s="54"/>
      <c r="J340" s="54"/>
      <c r="K340" s="54"/>
      <c r="L340" s="54" t="s">
        <v>122</v>
      </c>
      <c r="M340" s="3"/>
    </row>
    <row r="341" spans="1:13" hidden="1">
      <c r="A341" s="54">
        <v>340</v>
      </c>
      <c r="B341" s="54" t="s">
        <v>28</v>
      </c>
      <c r="C341" s="54" t="s">
        <v>1202</v>
      </c>
      <c r="D341" s="54" t="s">
        <v>1203</v>
      </c>
      <c r="E341" s="54" t="s">
        <v>366</v>
      </c>
      <c r="F341" s="54" t="s">
        <v>86</v>
      </c>
      <c r="G341" s="54" t="s">
        <v>367</v>
      </c>
      <c r="H341" s="54" t="s">
        <v>664</v>
      </c>
      <c r="I341" s="54" t="s">
        <v>198</v>
      </c>
      <c r="J341" s="54" t="s">
        <v>199</v>
      </c>
      <c r="K341" s="54" t="s">
        <v>200</v>
      </c>
      <c r="L341" s="54" t="s">
        <v>162</v>
      </c>
      <c r="M341" s="3"/>
    </row>
    <row r="342" spans="1:13" hidden="1">
      <c r="A342" s="54">
        <v>341</v>
      </c>
      <c r="B342" s="54" t="s">
        <v>28</v>
      </c>
      <c r="C342" s="54" t="s">
        <v>1204</v>
      </c>
      <c r="D342" s="54" t="s">
        <v>1205</v>
      </c>
      <c r="E342" s="54" t="s">
        <v>143</v>
      </c>
      <c r="F342" s="54" t="s">
        <v>86</v>
      </c>
      <c r="G342" s="54" t="s">
        <v>362</v>
      </c>
      <c r="H342" s="54" t="s">
        <v>598</v>
      </c>
      <c r="I342" s="54" t="s">
        <v>116</v>
      </c>
      <c r="J342" s="54" t="s">
        <v>199</v>
      </c>
      <c r="K342" s="54" t="s">
        <v>110</v>
      </c>
      <c r="L342" s="54" t="s">
        <v>117</v>
      </c>
      <c r="M342" s="3"/>
    </row>
    <row r="343" spans="1:13">
      <c r="A343" s="54">
        <v>342</v>
      </c>
      <c r="B343" s="54" t="s">
        <v>28</v>
      </c>
      <c r="C343" s="54" t="s">
        <v>1206</v>
      </c>
      <c r="D343" s="54" t="s">
        <v>1207</v>
      </c>
      <c r="E343" s="54" t="s">
        <v>102</v>
      </c>
      <c r="F343" s="54" t="s">
        <v>86</v>
      </c>
      <c r="G343" s="55"/>
      <c r="H343" s="55"/>
      <c r="I343" s="54"/>
      <c r="J343" s="54"/>
      <c r="K343" s="54"/>
      <c r="L343" s="54" t="s">
        <v>12</v>
      </c>
      <c r="M343" s="3"/>
    </row>
    <row r="344" spans="1:13" hidden="1">
      <c r="A344" s="54">
        <v>343</v>
      </c>
      <c r="B344" s="54" t="s">
        <v>28</v>
      </c>
      <c r="C344" s="54" t="s">
        <v>1208</v>
      </c>
      <c r="D344" s="54" t="s">
        <v>1209</v>
      </c>
      <c r="E344" s="54" t="s">
        <v>102</v>
      </c>
      <c r="F344" s="54" t="s">
        <v>86</v>
      </c>
      <c r="G344" s="54" t="s">
        <v>654</v>
      </c>
      <c r="H344" s="54" t="s">
        <v>359</v>
      </c>
      <c r="I344" s="54" t="s">
        <v>116</v>
      </c>
      <c r="J344" s="54" t="s">
        <v>199</v>
      </c>
      <c r="K344" s="54" t="s">
        <v>110</v>
      </c>
      <c r="L344" s="54" t="s">
        <v>162</v>
      </c>
      <c r="M344" s="3"/>
    </row>
    <row r="345" spans="1:13" hidden="1">
      <c r="A345" s="54">
        <v>344</v>
      </c>
      <c r="B345" s="54" t="s">
        <v>28</v>
      </c>
      <c r="C345" s="54" t="s">
        <v>1210</v>
      </c>
      <c r="D345" s="54" t="s">
        <v>1211</v>
      </c>
      <c r="E345" s="54" t="s">
        <v>143</v>
      </c>
      <c r="F345" s="54" t="s">
        <v>86</v>
      </c>
      <c r="G345" s="54" t="s">
        <v>654</v>
      </c>
      <c r="H345" s="54" t="s">
        <v>359</v>
      </c>
      <c r="I345" s="54" t="s">
        <v>116</v>
      </c>
      <c r="J345" s="54" t="s">
        <v>199</v>
      </c>
      <c r="K345" s="54" t="s">
        <v>110</v>
      </c>
      <c r="L345" s="54" t="s">
        <v>162</v>
      </c>
      <c r="M345" s="3"/>
    </row>
    <row r="346" spans="1:13" hidden="1">
      <c r="A346" s="54">
        <v>345</v>
      </c>
      <c r="B346" s="54" t="s">
        <v>28</v>
      </c>
      <c r="C346" s="54" t="s">
        <v>1212</v>
      </c>
      <c r="D346" s="54" t="s">
        <v>1213</v>
      </c>
      <c r="E346" s="54" t="s">
        <v>143</v>
      </c>
      <c r="F346" s="54" t="s">
        <v>86</v>
      </c>
      <c r="G346" s="54" t="s">
        <v>358</v>
      </c>
      <c r="H346" s="54" t="s">
        <v>374</v>
      </c>
      <c r="I346" s="54" t="s">
        <v>116</v>
      </c>
      <c r="J346" s="54" t="s">
        <v>199</v>
      </c>
      <c r="K346" s="54" t="s">
        <v>110</v>
      </c>
      <c r="L346" s="54" t="s">
        <v>162</v>
      </c>
      <c r="M346" s="3"/>
    </row>
    <row r="347" spans="1:13" hidden="1">
      <c r="A347" s="54">
        <v>346</v>
      </c>
      <c r="B347" s="54" t="s">
        <v>28</v>
      </c>
      <c r="C347" s="54" t="s">
        <v>1214</v>
      </c>
      <c r="D347" s="54" t="s">
        <v>1215</v>
      </c>
      <c r="E347" s="54" t="s">
        <v>366</v>
      </c>
      <c r="F347" s="54" t="s">
        <v>86</v>
      </c>
      <c r="G347" s="54" t="s">
        <v>358</v>
      </c>
      <c r="H347" s="54" t="s">
        <v>664</v>
      </c>
      <c r="I347" s="54" t="s">
        <v>116</v>
      </c>
      <c r="J347" s="54" t="s">
        <v>199</v>
      </c>
      <c r="K347" s="54" t="s">
        <v>110</v>
      </c>
      <c r="L347" s="54" t="s">
        <v>162</v>
      </c>
      <c r="M347" s="3"/>
    </row>
    <row r="348" spans="1:13" hidden="1">
      <c r="A348" s="54">
        <v>347</v>
      </c>
      <c r="B348" s="54" t="s">
        <v>28</v>
      </c>
      <c r="C348" s="54" t="s">
        <v>1216</v>
      </c>
      <c r="D348" s="54" t="s">
        <v>1217</v>
      </c>
      <c r="E348" s="54" t="s">
        <v>143</v>
      </c>
      <c r="F348" s="54" t="s">
        <v>86</v>
      </c>
      <c r="G348" s="54" t="s">
        <v>654</v>
      </c>
      <c r="H348" s="54" t="s">
        <v>371</v>
      </c>
      <c r="I348" s="54" t="s">
        <v>116</v>
      </c>
      <c r="J348" s="54" t="s">
        <v>199</v>
      </c>
      <c r="K348" s="54" t="s">
        <v>110</v>
      </c>
      <c r="L348" s="54" t="s">
        <v>111</v>
      </c>
      <c r="M348" s="3"/>
    </row>
    <row r="349" spans="1:13" hidden="1">
      <c r="A349" s="54">
        <v>348</v>
      </c>
      <c r="B349" s="54" t="s">
        <v>28</v>
      </c>
      <c r="C349" s="54" t="s">
        <v>1218</v>
      </c>
      <c r="D349" s="54" t="s">
        <v>1219</v>
      </c>
      <c r="E349" s="54" t="s">
        <v>143</v>
      </c>
      <c r="F349" s="54" t="s">
        <v>86</v>
      </c>
      <c r="G349" s="54" t="s">
        <v>1220</v>
      </c>
      <c r="H349" s="54" t="s">
        <v>341</v>
      </c>
      <c r="I349" s="54" t="s">
        <v>198</v>
      </c>
      <c r="J349" s="54" t="s">
        <v>199</v>
      </c>
      <c r="K349" s="54" t="s">
        <v>200</v>
      </c>
      <c r="L349" s="54" t="s">
        <v>117</v>
      </c>
      <c r="M349" s="3"/>
    </row>
    <row r="350" spans="1:13" hidden="1">
      <c r="A350" s="54">
        <v>349</v>
      </c>
      <c r="B350" s="54" t="s">
        <v>28</v>
      </c>
      <c r="C350" s="54" t="s">
        <v>1221</v>
      </c>
      <c r="D350" s="54" t="s">
        <v>1222</v>
      </c>
      <c r="E350" s="54" t="s">
        <v>366</v>
      </c>
      <c r="F350" s="54" t="s">
        <v>86</v>
      </c>
      <c r="G350" s="54" t="s">
        <v>196</v>
      </c>
      <c r="H350" s="54" t="s">
        <v>223</v>
      </c>
      <c r="I350" s="54" t="s">
        <v>186</v>
      </c>
      <c r="J350" s="54" t="s">
        <v>187</v>
      </c>
      <c r="K350" s="54"/>
      <c r="L350" s="54" t="s">
        <v>188</v>
      </c>
      <c r="M350" s="3"/>
    </row>
    <row r="351" spans="1:13">
      <c r="A351" s="54">
        <v>350</v>
      </c>
      <c r="B351" s="54" t="s">
        <v>28</v>
      </c>
      <c r="C351" s="54" t="s">
        <v>1223</v>
      </c>
      <c r="D351" s="54" t="s">
        <v>1224</v>
      </c>
      <c r="E351" s="54" t="s">
        <v>143</v>
      </c>
      <c r="F351" s="54" t="s">
        <v>86</v>
      </c>
      <c r="G351" s="55"/>
      <c r="H351" s="55"/>
      <c r="I351" s="54"/>
      <c r="J351" s="54"/>
      <c r="K351" s="54"/>
      <c r="L351" s="54" t="s">
        <v>12</v>
      </c>
      <c r="M351" s="3"/>
    </row>
    <row r="352" spans="1:13" hidden="1">
      <c r="A352" s="54">
        <v>351</v>
      </c>
      <c r="B352" s="54" t="s">
        <v>32</v>
      </c>
      <c r="C352" s="54" t="s">
        <v>1225</v>
      </c>
      <c r="D352" s="54" t="s">
        <v>1226</v>
      </c>
      <c r="E352" s="54" t="s">
        <v>226</v>
      </c>
      <c r="F352" s="54" t="s">
        <v>87</v>
      </c>
      <c r="G352" s="54" t="s">
        <v>148</v>
      </c>
      <c r="H352" s="54" t="s">
        <v>1227</v>
      </c>
      <c r="I352" s="54" t="s">
        <v>108</v>
      </c>
      <c r="J352" s="54" t="s">
        <v>135</v>
      </c>
      <c r="K352" s="54" t="s">
        <v>136</v>
      </c>
      <c r="L352" s="54" t="s">
        <v>111</v>
      </c>
      <c r="M352" s="3"/>
    </row>
    <row r="353" spans="1:13" hidden="1">
      <c r="A353" s="54">
        <v>352</v>
      </c>
      <c r="B353" s="54" t="s">
        <v>32</v>
      </c>
      <c r="C353" s="54" t="s">
        <v>1228</v>
      </c>
      <c r="D353" s="54" t="s">
        <v>1229</v>
      </c>
      <c r="E353" s="54" t="s">
        <v>276</v>
      </c>
      <c r="F353" s="54" t="s">
        <v>87</v>
      </c>
      <c r="G353" s="55"/>
      <c r="H353" s="55"/>
      <c r="I353" s="55"/>
      <c r="J353" s="54"/>
      <c r="K353" s="54"/>
      <c r="L353" s="54" t="s">
        <v>122</v>
      </c>
      <c r="M353" s="3"/>
    </row>
    <row r="354" spans="1:13">
      <c r="A354" s="54">
        <v>353</v>
      </c>
      <c r="B354" s="54" t="s">
        <v>32</v>
      </c>
      <c r="C354" s="54" t="s">
        <v>1230</v>
      </c>
      <c r="D354" s="54" t="s">
        <v>1231</v>
      </c>
      <c r="E354" s="54" t="s">
        <v>226</v>
      </c>
      <c r="F354" s="54" t="s">
        <v>87</v>
      </c>
      <c r="G354" s="55"/>
      <c r="H354" s="55"/>
      <c r="I354" s="55"/>
      <c r="J354" s="54"/>
      <c r="K354" s="54"/>
      <c r="L354" s="54" t="s">
        <v>12</v>
      </c>
      <c r="M354" s="3"/>
    </row>
    <row r="355" spans="1:13" hidden="1">
      <c r="A355" s="54">
        <v>354</v>
      </c>
      <c r="B355" s="54" t="s">
        <v>32</v>
      </c>
      <c r="C355" s="54" t="s">
        <v>1232</v>
      </c>
      <c r="D355" s="54" t="s">
        <v>1233</v>
      </c>
      <c r="E355" s="54" t="s">
        <v>247</v>
      </c>
      <c r="F355" s="54" t="s">
        <v>87</v>
      </c>
      <c r="G355" s="55"/>
      <c r="H355" s="55"/>
      <c r="I355" s="55"/>
      <c r="J355" s="54"/>
      <c r="K355" s="54"/>
      <c r="L355" s="54" t="s">
        <v>16</v>
      </c>
      <c r="M355" s="3"/>
    </row>
    <row r="356" spans="1:13">
      <c r="A356" s="54">
        <v>355</v>
      </c>
      <c r="B356" s="54" t="s">
        <v>32</v>
      </c>
      <c r="C356" s="54" t="s">
        <v>1234</v>
      </c>
      <c r="D356" s="54" t="s">
        <v>1235</v>
      </c>
      <c r="E356" s="54" t="s">
        <v>247</v>
      </c>
      <c r="F356" s="54" t="s">
        <v>87</v>
      </c>
      <c r="G356" s="55"/>
      <c r="H356" s="55"/>
      <c r="I356" s="55"/>
      <c r="J356" s="54"/>
      <c r="K356" s="54"/>
      <c r="L356" s="54" t="s">
        <v>12</v>
      </c>
      <c r="M356" s="3"/>
    </row>
    <row r="357" spans="1:13">
      <c r="A357" s="54">
        <v>356</v>
      </c>
      <c r="B357" s="54" t="s">
        <v>32</v>
      </c>
      <c r="C357" s="54" t="s">
        <v>1236</v>
      </c>
      <c r="D357" s="54" t="s">
        <v>1237</v>
      </c>
      <c r="E357" s="54" t="s">
        <v>276</v>
      </c>
      <c r="F357" s="54" t="s">
        <v>87</v>
      </c>
      <c r="G357" s="55"/>
      <c r="H357" s="55"/>
      <c r="I357" s="55"/>
      <c r="J357" s="54"/>
      <c r="K357" s="54"/>
      <c r="L357" s="54" t="s">
        <v>12</v>
      </c>
      <c r="M357" s="3"/>
    </row>
    <row r="358" spans="1:13" hidden="1">
      <c r="A358" s="54">
        <v>357</v>
      </c>
      <c r="B358" s="54" t="s">
        <v>32</v>
      </c>
      <c r="C358" s="54" t="s">
        <v>1238</v>
      </c>
      <c r="D358" s="54" t="s">
        <v>1239</v>
      </c>
      <c r="E358" s="54" t="s">
        <v>247</v>
      </c>
      <c r="F358" s="54" t="s">
        <v>87</v>
      </c>
      <c r="G358" s="55"/>
      <c r="H358" s="55"/>
      <c r="I358" s="55"/>
      <c r="J358" s="54"/>
      <c r="K358" s="54"/>
      <c r="L358" s="54" t="s">
        <v>122</v>
      </c>
      <c r="M358" s="3"/>
    </row>
    <row r="359" spans="1:13">
      <c r="A359" s="54">
        <v>358</v>
      </c>
      <c r="B359" s="54" t="s">
        <v>32</v>
      </c>
      <c r="C359" s="54" t="s">
        <v>1240</v>
      </c>
      <c r="D359" s="54" t="s">
        <v>1241</v>
      </c>
      <c r="E359" s="54" t="s">
        <v>226</v>
      </c>
      <c r="F359" s="54" t="s">
        <v>87</v>
      </c>
      <c r="G359" s="55"/>
      <c r="H359" s="55"/>
      <c r="I359" s="55"/>
      <c r="J359" s="54"/>
      <c r="K359" s="54"/>
      <c r="L359" s="54" t="s">
        <v>12</v>
      </c>
      <c r="M359" s="3"/>
    </row>
    <row r="360" spans="1:13" hidden="1">
      <c r="A360" s="54">
        <v>359</v>
      </c>
      <c r="B360" s="54" t="s">
        <v>32</v>
      </c>
      <c r="C360" s="54" t="s">
        <v>1242</v>
      </c>
      <c r="D360" s="54" t="s">
        <v>1243</v>
      </c>
      <c r="E360" s="54" t="s">
        <v>231</v>
      </c>
      <c r="F360" s="54" t="s">
        <v>87</v>
      </c>
      <c r="G360" s="55"/>
      <c r="H360" s="55"/>
      <c r="I360" s="55"/>
      <c r="J360" s="54"/>
      <c r="K360" s="54"/>
      <c r="L360" s="54" t="s">
        <v>122</v>
      </c>
      <c r="M360" s="3"/>
    </row>
    <row r="361" spans="1:13">
      <c r="A361" s="54">
        <v>360</v>
      </c>
      <c r="B361" s="54" t="s">
        <v>32</v>
      </c>
      <c r="C361" s="54" t="s">
        <v>1244</v>
      </c>
      <c r="D361" s="54" t="s">
        <v>1245</v>
      </c>
      <c r="E361" s="54" t="s">
        <v>226</v>
      </c>
      <c r="F361" s="54" t="s">
        <v>87</v>
      </c>
      <c r="G361" s="55"/>
      <c r="H361" s="55"/>
      <c r="I361" s="55"/>
      <c r="J361" s="54"/>
      <c r="K361" s="54"/>
      <c r="L361" s="54" t="s">
        <v>12</v>
      </c>
      <c r="M361" s="3"/>
    </row>
    <row r="362" spans="1:13" hidden="1">
      <c r="A362" s="54">
        <v>361</v>
      </c>
      <c r="B362" s="54" t="s">
        <v>32</v>
      </c>
      <c r="C362" s="54" t="s">
        <v>1246</v>
      </c>
      <c r="D362" s="54" t="s">
        <v>1247</v>
      </c>
      <c r="E362" s="54" t="s">
        <v>226</v>
      </c>
      <c r="F362" s="54" t="s">
        <v>87</v>
      </c>
      <c r="G362" s="54" t="s">
        <v>396</v>
      </c>
      <c r="H362" s="54" t="s">
        <v>258</v>
      </c>
      <c r="I362" s="54" t="s">
        <v>108</v>
      </c>
      <c r="J362" s="54" t="s">
        <v>135</v>
      </c>
      <c r="K362" s="54" t="s">
        <v>136</v>
      </c>
      <c r="L362" s="54" t="s">
        <v>162</v>
      </c>
      <c r="M362" s="3"/>
    </row>
    <row r="363" spans="1:13" hidden="1">
      <c r="A363" s="54">
        <v>362</v>
      </c>
      <c r="B363" s="54" t="s">
        <v>20</v>
      </c>
      <c r="C363" s="54" t="s">
        <v>1248</v>
      </c>
      <c r="D363" s="54" t="s">
        <v>1249</v>
      </c>
      <c r="E363" s="54" t="s">
        <v>1250</v>
      </c>
      <c r="F363" s="54" t="s">
        <v>88</v>
      </c>
      <c r="G363" s="54" t="s">
        <v>1251</v>
      </c>
      <c r="H363" s="54" t="s">
        <v>1252</v>
      </c>
      <c r="I363" s="54" t="s">
        <v>108</v>
      </c>
      <c r="J363" s="54" t="s">
        <v>130</v>
      </c>
      <c r="K363" s="54" t="s">
        <v>110</v>
      </c>
      <c r="L363" s="54" t="s">
        <v>162</v>
      </c>
      <c r="M363" s="3"/>
    </row>
    <row r="364" spans="1:13" hidden="1">
      <c r="A364" s="54">
        <v>363</v>
      </c>
      <c r="B364" s="54" t="s">
        <v>20</v>
      </c>
      <c r="C364" s="54" t="s">
        <v>1253</v>
      </c>
      <c r="D364" s="54" t="s">
        <v>1254</v>
      </c>
      <c r="E364" s="54" t="s">
        <v>1255</v>
      </c>
      <c r="F364" s="54" t="s">
        <v>88</v>
      </c>
      <c r="G364" s="55"/>
      <c r="H364" s="55"/>
      <c r="I364" s="54" t="s">
        <v>186</v>
      </c>
      <c r="J364" s="54" t="s">
        <v>187</v>
      </c>
      <c r="K364" s="54"/>
      <c r="L364" s="54" t="s">
        <v>188</v>
      </c>
      <c r="M364" s="3"/>
    </row>
    <row r="365" spans="1:13" hidden="1">
      <c r="A365" s="54">
        <v>364</v>
      </c>
      <c r="B365" s="54" t="s">
        <v>20</v>
      </c>
      <c r="C365" s="54" t="s">
        <v>1256</v>
      </c>
      <c r="D365" s="54" t="s">
        <v>1257</v>
      </c>
      <c r="E365" s="54" t="s">
        <v>1258</v>
      </c>
      <c r="F365" s="54" t="s">
        <v>88</v>
      </c>
      <c r="G365" s="54" t="s">
        <v>411</v>
      </c>
      <c r="H365" s="54" t="s">
        <v>1259</v>
      </c>
      <c r="I365" s="54" t="s">
        <v>108</v>
      </c>
      <c r="J365" s="54" t="s">
        <v>109</v>
      </c>
      <c r="K365" s="54" t="s">
        <v>110</v>
      </c>
      <c r="L365" s="54" t="s">
        <v>117</v>
      </c>
      <c r="M365" s="3"/>
    </row>
    <row r="366" spans="1:13" hidden="1">
      <c r="A366" s="54">
        <v>365</v>
      </c>
      <c r="B366" s="54" t="s">
        <v>20</v>
      </c>
      <c r="C366" s="54" t="s">
        <v>1260</v>
      </c>
      <c r="D366" s="54" t="s">
        <v>1261</v>
      </c>
      <c r="E366" s="54" t="s">
        <v>1174</v>
      </c>
      <c r="F366" s="54" t="s">
        <v>88</v>
      </c>
      <c r="G366" s="54" t="s">
        <v>1262</v>
      </c>
      <c r="H366" s="54" t="s">
        <v>1263</v>
      </c>
      <c r="I366" s="54"/>
      <c r="J366" s="54"/>
      <c r="K366" s="54"/>
      <c r="L366" s="54" t="s">
        <v>122</v>
      </c>
      <c r="M366" s="3"/>
    </row>
    <row r="367" spans="1:13" hidden="1">
      <c r="A367" s="54">
        <v>366</v>
      </c>
      <c r="B367" s="54" t="s">
        <v>20</v>
      </c>
      <c r="C367" s="54" t="s">
        <v>1264</v>
      </c>
      <c r="D367" s="54" t="s">
        <v>1265</v>
      </c>
      <c r="E367" s="54" t="s">
        <v>1266</v>
      </c>
      <c r="F367" s="54" t="s">
        <v>88</v>
      </c>
      <c r="G367" s="55"/>
      <c r="H367" s="55"/>
      <c r="I367" s="54" t="s">
        <v>186</v>
      </c>
      <c r="J367" s="54" t="s">
        <v>187</v>
      </c>
      <c r="K367" s="54"/>
      <c r="L367" s="54" t="s">
        <v>188</v>
      </c>
      <c r="M367" s="3"/>
    </row>
    <row r="368" spans="1:13" hidden="1">
      <c r="A368" s="54">
        <v>367</v>
      </c>
      <c r="B368" s="54" t="s">
        <v>20</v>
      </c>
      <c r="C368" s="54" t="s">
        <v>1267</v>
      </c>
      <c r="D368" s="54" t="s">
        <v>1268</v>
      </c>
      <c r="E368" s="54" t="s">
        <v>1269</v>
      </c>
      <c r="F368" s="54" t="s">
        <v>88</v>
      </c>
      <c r="G368" s="54" t="s">
        <v>211</v>
      </c>
      <c r="H368" s="54" t="s">
        <v>578</v>
      </c>
      <c r="I368" s="54" t="s">
        <v>198</v>
      </c>
      <c r="J368" s="54" t="s">
        <v>108</v>
      </c>
      <c r="K368" s="54" t="s">
        <v>135</v>
      </c>
      <c r="L368" s="54" t="s">
        <v>293</v>
      </c>
      <c r="M368" s="3"/>
    </row>
    <row r="369" spans="1:13" hidden="1">
      <c r="A369" s="54">
        <v>368</v>
      </c>
      <c r="B369" s="54" t="s">
        <v>26</v>
      </c>
      <c r="C369" s="54" t="s">
        <v>1270</v>
      </c>
      <c r="D369" s="54" t="s">
        <v>1271</v>
      </c>
      <c r="E369" s="54" t="s">
        <v>226</v>
      </c>
      <c r="F369" s="54" t="s">
        <v>89</v>
      </c>
      <c r="G369" s="54" t="s">
        <v>1272</v>
      </c>
      <c r="H369" s="54" t="s">
        <v>1273</v>
      </c>
      <c r="I369" s="54" t="s">
        <v>108</v>
      </c>
      <c r="J369" s="54" t="s">
        <v>135</v>
      </c>
      <c r="K369" s="54" t="s">
        <v>136</v>
      </c>
      <c r="L369" s="54" t="s">
        <v>111</v>
      </c>
      <c r="M369" s="3"/>
    </row>
    <row r="370" spans="1:13">
      <c r="A370" s="54">
        <v>369</v>
      </c>
      <c r="B370" s="54" t="s">
        <v>26</v>
      </c>
      <c r="C370" s="54" t="s">
        <v>1274</v>
      </c>
      <c r="D370" s="54" t="s">
        <v>1275</v>
      </c>
      <c r="E370" s="54" t="s">
        <v>226</v>
      </c>
      <c r="F370" s="54" t="s">
        <v>89</v>
      </c>
      <c r="G370" s="55"/>
      <c r="H370" s="55"/>
      <c r="I370" s="55"/>
      <c r="J370" s="55"/>
      <c r="K370" s="54"/>
      <c r="L370" s="54" t="s">
        <v>12</v>
      </c>
      <c r="M370" s="3"/>
    </row>
    <row r="371" spans="1:13" hidden="1">
      <c r="A371" s="54">
        <v>370</v>
      </c>
      <c r="B371" s="54" t="s">
        <v>26</v>
      </c>
      <c r="C371" s="54" t="s">
        <v>1276</v>
      </c>
      <c r="D371" s="54" t="s">
        <v>1277</v>
      </c>
      <c r="E371" s="54" t="s">
        <v>226</v>
      </c>
      <c r="F371" s="54" t="s">
        <v>89</v>
      </c>
      <c r="G371" s="55"/>
      <c r="H371" s="55"/>
      <c r="I371" s="55"/>
      <c r="J371" s="55"/>
      <c r="K371" s="54"/>
      <c r="L371" s="54" t="s">
        <v>16</v>
      </c>
      <c r="M371" s="4"/>
    </row>
    <row r="372" spans="1:13">
      <c r="A372" s="54">
        <v>371</v>
      </c>
      <c r="B372" s="54" t="s">
        <v>26</v>
      </c>
      <c r="C372" s="54" t="s">
        <v>1278</v>
      </c>
      <c r="D372" s="54" t="s">
        <v>1279</v>
      </c>
      <c r="E372" s="54" t="s">
        <v>226</v>
      </c>
      <c r="F372" s="54" t="s">
        <v>89</v>
      </c>
      <c r="G372" s="55"/>
      <c r="H372" s="55"/>
      <c r="I372" s="55"/>
      <c r="J372" s="55"/>
      <c r="K372" s="54"/>
      <c r="L372" s="54" t="s">
        <v>12</v>
      </c>
      <c r="M372" s="1"/>
    </row>
    <row r="373" spans="1:13" hidden="1">
      <c r="A373" s="54">
        <v>372</v>
      </c>
      <c r="B373" s="54" t="s">
        <v>26</v>
      </c>
      <c r="C373" s="54" t="s">
        <v>1280</v>
      </c>
      <c r="D373" s="54" t="s">
        <v>1281</v>
      </c>
      <c r="E373" s="54" t="s">
        <v>697</v>
      </c>
      <c r="F373" s="54" t="s">
        <v>89</v>
      </c>
      <c r="G373" s="55"/>
      <c r="H373" s="55"/>
      <c r="I373" s="54" t="s">
        <v>186</v>
      </c>
      <c r="J373" s="54" t="s">
        <v>187</v>
      </c>
      <c r="K373" s="54"/>
      <c r="L373" s="54" t="s">
        <v>188</v>
      </c>
      <c r="M373" s="1"/>
    </row>
    <row r="374" spans="1:13" hidden="1">
      <c r="A374" s="54">
        <v>373</v>
      </c>
      <c r="B374" s="54" t="s">
        <v>26</v>
      </c>
      <c r="C374" s="54" t="s">
        <v>1282</v>
      </c>
      <c r="D374" s="54" t="s">
        <v>1283</v>
      </c>
      <c r="E374" s="54" t="s">
        <v>402</v>
      </c>
      <c r="F374" s="54" t="s">
        <v>89</v>
      </c>
      <c r="G374" s="54" t="s">
        <v>898</v>
      </c>
      <c r="H374" s="54" t="s">
        <v>585</v>
      </c>
      <c r="I374" s="54" t="s">
        <v>116</v>
      </c>
      <c r="J374" s="54" t="s">
        <v>109</v>
      </c>
      <c r="K374" s="54" t="s">
        <v>110</v>
      </c>
      <c r="L374" s="54" t="s">
        <v>117</v>
      </c>
      <c r="M374" s="1"/>
    </row>
    <row r="375" spans="1:13" hidden="1">
      <c r="A375" s="54">
        <v>374</v>
      </c>
      <c r="B375" s="54" t="s">
        <v>26</v>
      </c>
      <c r="C375" s="54" t="s">
        <v>1284</v>
      </c>
      <c r="D375" s="54" t="s">
        <v>1285</v>
      </c>
      <c r="E375" s="54" t="s">
        <v>226</v>
      </c>
      <c r="F375" s="54" t="s">
        <v>89</v>
      </c>
      <c r="G375" s="55"/>
      <c r="H375" s="55"/>
      <c r="I375" s="55"/>
      <c r="J375" s="55"/>
      <c r="K375" s="54"/>
      <c r="L375" s="54" t="s">
        <v>122</v>
      </c>
      <c r="M375" s="1"/>
    </row>
    <row r="376" spans="1:13">
      <c r="A376" s="54">
        <v>375</v>
      </c>
      <c r="B376" s="54" t="s">
        <v>26</v>
      </c>
      <c r="C376" s="54" t="s">
        <v>1286</v>
      </c>
      <c r="D376" s="54" t="s">
        <v>1287</v>
      </c>
      <c r="E376" s="54" t="s">
        <v>226</v>
      </c>
      <c r="F376" s="54" t="s">
        <v>89</v>
      </c>
      <c r="G376" s="55"/>
      <c r="H376" s="55"/>
      <c r="I376" s="55"/>
      <c r="J376" s="55"/>
      <c r="K376" s="54"/>
      <c r="L376" s="54" t="s">
        <v>12</v>
      </c>
      <c r="M376" s="1"/>
    </row>
    <row r="377" spans="1:13" hidden="1">
      <c r="A377" s="54">
        <v>376</v>
      </c>
      <c r="B377" s="54" t="s">
        <v>26</v>
      </c>
      <c r="C377" s="54" t="s">
        <v>1288</v>
      </c>
      <c r="D377" s="54" t="s">
        <v>1289</v>
      </c>
      <c r="E377" s="54" t="s">
        <v>1045</v>
      </c>
      <c r="F377" s="54" t="s">
        <v>89</v>
      </c>
      <c r="G377" s="54" t="s">
        <v>1290</v>
      </c>
      <c r="H377" s="54" t="s">
        <v>598</v>
      </c>
      <c r="I377" s="54" t="s">
        <v>108</v>
      </c>
      <c r="J377" s="54" t="s">
        <v>130</v>
      </c>
      <c r="K377" s="54" t="s">
        <v>110</v>
      </c>
      <c r="L377" s="54" t="s">
        <v>117</v>
      </c>
      <c r="M377" s="1"/>
    </row>
    <row r="378" spans="1:1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2:1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2:13">
      <c r="B386" s="1"/>
      <c r="C386" s="1"/>
      <c r="D386" s="1"/>
      <c r="E386" s="1"/>
      <c r="G386" s="1"/>
      <c r="H386" s="1"/>
      <c r="I386" s="1"/>
      <c r="J386" s="1"/>
      <c r="K386" s="1"/>
      <c r="L386" s="1"/>
      <c r="M386" s="1"/>
    </row>
    <row r="387" spans="2:13">
      <c r="B387" s="1"/>
      <c r="C387" s="1"/>
      <c r="D387" s="1"/>
      <c r="E387" s="1"/>
      <c r="G387" s="1"/>
      <c r="H387" s="1"/>
      <c r="I387" s="1"/>
      <c r="J387" s="1"/>
      <c r="K387" s="1"/>
      <c r="L387" s="1"/>
      <c r="M387" s="1"/>
    </row>
    <row r="388" spans="2:13">
      <c r="B388" s="1"/>
      <c r="C388" s="1"/>
      <c r="D388" s="1"/>
      <c r="E388" s="1"/>
      <c r="G388" s="1"/>
      <c r="H388" s="1"/>
      <c r="I388" s="1"/>
      <c r="J388" s="1"/>
      <c r="K388" s="1"/>
      <c r="L388" s="1"/>
      <c r="M388" s="1"/>
    </row>
    <row r="389" spans="2:13">
      <c r="B389" s="1"/>
      <c r="C389" s="1"/>
      <c r="D389" s="1"/>
      <c r="E389" s="1"/>
      <c r="G389" s="1"/>
      <c r="H389" s="1"/>
      <c r="I389" s="1"/>
      <c r="J389" s="1"/>
      <c r="K389" s="1"/>
      <c r="L389" s="1"/>
      <c r="M389" s="1"/>
    </row>
    <row r="390" spans="2:13">
      <c r="B390" s="1"/>
      <c r="C390" s="1"/>
      <c r="D390" s="1"/>
      <c r="E390" s="1"/>
      <c r="G390" s="1"/>
      <c r="H390" s="1"/>
      <c r="I390" s="1"/>
      <c r="J390" s="1"/>
      <c r="K390" s="1"/>
      <c r="L390" s="1"/>
      <c r="M390" s="1"/>
    </row>
    <row r="391" spans="2:13">
      <c r="B391" s="1"/>
      <c r="C391" s="1"/>
      <c r="D391" s="1"/>
      <c r="E391" s="1"/>
      <c r="G391" s="1"/>
      <c r="H391" s="1"/>
      <c r="I391" s="1"/>
      <c r="J391" s="1"/>
      <c r="K391" s="1"/>
      <c r="L391" s="1"/>
      <c r="M391" s="1"/>
    </row>
    <row r="392" spans="2:13">
      <c r="B392" s="1"/>
      <c r="C392" s="1"/>
      <c r="D392" s="1"/>
      <c r="E392" s="1"/>
      <c r="G392" s="1"/>
      <c r="H392" s="1"/>
      <c r="I392" s="1"/>
      <c r="J392" s="1"/>
      <c r="K392" s="1"/>
      <c r="L392" s="1"/>
      <c r="M392" s="1"/>
    </row>
    <row r="393" spans="2:13">
      <c r="B393" s="1"/>
      <c r="C393" s="1"/>
      <c r="D393" s="1"/>
      <c r="E393" s="1"/>
      <c r="G393" s="1"/>
      <c r="H393" s="1"/>
      <c r="I393" s="1"/>
      <c r="J393" s="1"/>
      <c r="K393" s="1"/>
      <c r="L393" s="1"/>
      <c r="M393" s="1"/>
    </row>
    <row r="394" spans="2:13">
      <c r="B394" s="1"/>
      <c r="C394" s="1"/>
      <c r="D394" s="1"/>
      <c r="E394" s="1"/>
      <c r="G394" s="1"/>
      <c r="H394" s="1"/>
      <c r="I394" s="1"/>
      <c r="J394" s="1"/>
      <c r="K394" s="1"/>
      <c r="L394" s="1"/>
      <c r="M394" s="1"/>
    </row>
    <row r="395" spans="2:13">
      <c r="B395" s="1"/>
      <c r="C395" s="1"/>
      <c r="D395" s="1"/>
      <c r="E395" s="1"/>
      <c r="G395" s="1"/>
      <c r="H395" s="1"/>
      <c r="I395" s="1"/>
      <c r="J395" s="1"/>
      <c r="K395" s="1"/>
      <c r="L395" s="1"/>
      <c r="M395" s="1"/>
    </row>
    <row r="396" spans="2:13">
      <c r="B396" s="1"/>
      <c r="C396" s="1"/>
      <c r="D396" s="1"/>
      <c r="E396" s="1"/>
      <c r="G396" s="1"/>
      <c r="H396" s="1"/>
      <c r="I396" s="1"/>
      <c r="J396" s="1"/>
      <c r="K396" s="1"/>
      <c r="L396" s="1"/>
      <c r="M396" s="1"/>
    </row>
    <row r="397" spans="2:13">
      <c r="B397" s="1"/>
      <c r="C397" s="1"/>
      <c r="D397" s="1"/>
      <c r="E397" s="1"/>
      <c r="G397" s="1"/>
      <c r="H397" s="1"/>
      <c r="I397" s="1"/>
      <c r="J397" s="1"/>
      <c r="K397" s="1"/>
      <c r="L397" s="1"/>
      <c r="M397" s="1"/>
    </row>
    <row r="398" spans="2:13">
      <c r="B398" s="1"/>
      <c r="C398" s="1"/>
      <c r="D398" s="1"/>
      <c r="E398" s="1"/>
      <c r="G398" s="1"/>
      <c r="H398" s="1"/>
      <c r="I398" s="1"/>
      <c r="J398" s="1"/>
      <c r="K398" s="1"/>
      <c r="L398" s="1"/>
      <c r="M398" s="1"/>
    </row>
    <row r="399" spans="2:13">
      <c r="B399" s="1"/>
      <c r="C399" s="1"/>
      <c r="D399" s="1"/>
      <c r="E399" s="1"/>
      <c r="G399" s="1"/>
      <c r="H399" s="1"/>
      <c r="I399" s="1"/>
      <c r="J399" s="1"/>
      <c r="K399" s="1"/>
      <c r="L399" s="1"/>
      <c r="M399" s="1"/>
    </row>
    <row r="400" spans="2:13">
      <c r="B400" s="1"/>
      <c r="C400" s="1"/>
      <c r="D400" s="1"/>
      <c r="E400" s="1"/>
      <c r="G400" s="1"/>
      <c r="H400" s="1"/>
      <c r="I400" s="1"/>
      <c r="J400" s="1"/>
      <c r="K400" s="1"/>
      <c r="L400" s="1"/>
      <c r="M400" s="1"/>
    </row>
    <row r="401" spans="2:1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2:13">
      <c r="B402" s="1"/>
      <c r="C402" s="1"/>
      <c r="D402" s="1"/>
      <c r="E402" s="1"/>
      <c r="I402" s="1"/>
      <c r="J402" s="1"/>
      <c r="K402" s="1"/>
      <c r="L402" s="1"/>
      <c r="M402" s="1"/>
    </row>
    <row r="403" spans="2:13">
      <c r="B403" s="1"/>
      <c r="C403" s="1"/>
      <c r="D403" s="1"/>
      <c r="E403" s="1"/>
      <c r="I403" s="1"/>
      <c r="J403" s="1"/>
      <c r="K403" s="1"/>
      <c r="L403" s="1"/>
      <c r="M403" s="1"/>
    </row>
    <row r="404" spans="2:13">
      <c r="B404" s="1"/>
      <c r="C404" s="1"/>
      <c r="D404" s="1"/>
      <c r="E404" s="1"/>
      <c r="I404" s="1"/>
      <c r="J404" s="1"/>
      <c r="K404" s="1"/>
      <c r="L404" s="1"/>
      <c r="M404" s="1"/>
    </row>
    <row r="405" spans="2:13">
      <c r="B405" s="1"/>
      <c r="C405" s="1"/>
      <c r="D405" s="1"/>
      <c r="E405" s="1"/>
      <c r="I405" s="1"/>
      <c r="J405" s="1"/>
      <c r="K405" s="1"/>
      <c r="L405" s="1"/>
      <c r="M405" s="1"/>
    </row>
    <row r="406" spans="2:13">
      <c r="B406" s="1"/>
      <c r="C406" s="1"/>
      <c r="D406" s="1"/>
      <c r="E406" s="1"/>
      <c r="I406" s="1"/>
      <c r="J406" s="1"/>
      <c r="K406" s="1"/>
      <c r="L406" s="1"/>
      <c r="M406" s="1"/>
    </row>
    <row r="407" spans="2:13">
      <c r="B407" s="1"/>
      <c r="C407" s="1"/>
      <c r="D407" s="1"/>
      <c r="E407" s="1"/>
      <c r="I407" s="1"/>
      <c r="J407" s="1"/>
      <c r="K407" s="1"/>
      <c r="L407" s="1"/>
      <c r="M407" s="1"/>
    </row>
    <row r="408" spans="2:13">
      <c r="B408" s="1"/>
      <c r="C408" s="1"/>
      <c r="D408" s="1"/>
      <c r="E408" s="1"/>
      <c r="I408" s="1"/>
      <c r="J408" s="1"/>
      <c r="K408" s="1"/>
      <c r="L408" s="1"/>
      <c r="M408" s="1"/>
    </row>
    <row r="409" spans="2:13">
      <c r="B409" s="1"/>
      <c r="C409" s="1"/>
      <c r="D409" s="1"/>
      <c r="E409" s="1"/>
      <c r="G409" s="1"/>
      <c r="H409" s="1"/>
      <c r="I409" s="1"/>
      <c r="J409" s="1"/>
      <c r="K409" s="1"/>
      <c r="L409" s="1"/>
      <c r="M409" s="1"/>
    </row>
    <row r="410" spans="2:13">
      <c r="B410" s="1"/>
      <c r="C410" s="1"/>
      <c r="D410" s="1"/>
      <c r="E410" s="1"/>
      <c r="G410" s="1"/>
      <c r="H410" s="1"/>
      <c r="I410" s="1"/>
      <c r="J410" s="1"/>
      <c r="K410" s="1"/>
      <c r="L410" s="1"/>
      <c r="M410" s="1"/>
    </row>
    <row r="411" spans="2:13">
      <c r="B411" s="1"/>
      <c r="C411" s="1"/>
      <c r="D411" s="1"/>
      <c r="E411" s="1"/>
      <c r="I411" s="1"/>
      <c r="J411" s="1"/>
      <c r="K411" s="1"/>
      <c r="L411" s="1"/>
      <c r="M411" s="1"/>
    </row>
    <row r="412" spans="2:13">
      <c r="B412" s="1"/>
      <c r="C412" s="1"/>
      <c r="D412" s="1"/>
      <c r="E412" s="1"/>
      <c r="I412" s="1"/>
      <c r="J412" s="1"/>
      <c r="K412" s="1"/>
      <c r="L412" s="1"/>
      <c r="M412" s="1"/>
    </row>
    <row r="413" spans="2:13">
      <c r="B413" s="1"/>
      <c r="C413" s="1"/>
      <c r="D413" s="1"/>
      <c r="E413" s="1"/>
      <c r="I413" s="1"/>
      <c r="J413" s="1"/>
      <c r="K413" s="1"/>
      <c r="L413" s="1"/>
      <c r="M413" s="1"/>
    </row>
    <row r="414" spans="2:1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2:1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2:13">
      <c r="B416" s="1"/>
      <c r="C416" s="1"/>
      <c r="D416" s="1"/>
      <c r="E416" s="1"/>
      <c r="F416" s="1"/>
      <c r="G416" s="1"/>
      <c r="I416" s="1"/>
      <c r="J416" s="1"/>
      <c r="K416" s="1"/>
      <c r="L416" s="1"/>
      <c r="M416" s="1"/>
    </row>
    <row r="417" spans="2:1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2:1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2:1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2:1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2:1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2:1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2:1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2:1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2:1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2:1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2:1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2:1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2:1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2:1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2:1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2:1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2:1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2:1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2:1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2:1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2:1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2:1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2:1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2:1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2:1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2:1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2:1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2:1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2:1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2:1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2:1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2:1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2:1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2:1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2:1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2:1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2:13">
      <c r="B453" s="1"/>
      <c r="C453" s="1"/>
      <c r="D453" s="1"/>
      <c r="E453" s="1"/>
      <c r="G453" s="1"/>
      <c r="H453" s="1"/>
      <c r="I453" s="1"/>
      <c r="J453" s="1"/>
      <c r="K453" s="1"/>
      <c r="L453" s="1"/>
      <c r="M453" s="1"/>
    </row>
    <row r="454" spans="2:1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2:1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2:1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2:1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2:1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2:1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2:1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2:1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2:1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2:1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2:1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2:1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2:13">
      <c r="B466" s="1"/>
      <c r="C466" s="1"/>
      <c r="D466" s="1"/>
      <c r="E466" s="1"/>
      <c r="I466" s="1"/>
      <c r="J466" s="1"/>
      <c r="K466" s="1"/>
      <c r="L466" s="1"/>
      <c r="M466" s="1"/>
    </row>
    <row r="467" spans="2:13">
      <c r="B467" s="1"/>
      <c r="C467" s="1"/>
      <c r="D467" s="1"/>
      <c r="E467" s="1"/>
      <c r="I467" s="1"/>
      <c r="J467" s="1"/>
      <c r="K467" s="1"/>
      <c r="L467" s="1"/>
      <c r="M467" s="1"/>
    </row>
    <row r="468" spans="2:13">
      <c r="B468" s="1"/>
      <c r="C468" s="1"/>
      <c r="D468" s="1"/>
      <c r="E468" s="1"/>
      <c r="I468" s="1"/>
      <c r="J468" s="1"/>
      <c r="K468" s="1"/>
      <c r="L468" s="1"/>
      <c r="M468" s="1"/>
    </row>
    <row r="469" spans="2:13">
      <c r="B469" s="1"/>
      <c r="C469" s="1"/>
      <c r="D469" s="1"/>
      <c r="E469" s="1"/>
      <c r="I469" s="1"/>
      <c r="J469" s="1"/>
      <c r="K469" s="1"/>
      <c r="L469" s="1"/>
      <c r="M469" s="1"/>
    </row>
    <row r="470" spans="2:13">
      <c r="B470" s="1"/>
      <c r="C470" s="1"/>
      <c r="D470" s="1"/>
      <c r="E470" s="1"/>
      <c r="I470" s="1"/>
      <c r="J470" s="1"/>
      <c r="K470" s="1"/>
      <c r="L470" s="1"/>
      <c r="M470" s="1"/>
    </row>
    <row r="471" spans="2:13">
      <c r="B471" s="1"/>
      <c r="C471" s="1"/>
      <c r="D471" s="1"/>
      <c r="E471" s="1"/>
      <c r="I471" s="1"/>
      <c r="J471" s="1"/>
      <c r="K471" s="1"/>
      <c r="L471" s="1"/>
      <c r="M471" s="1"/>
    </row>
    <row r="472" spans="2:13">
      <c r="B472" s="1"/>
      <c r="C472" s="1"/>
      <c r="D472" s="1"/>
      <c r="E472" s="1"/>
      <c r="I472" s="1"/>
      <c r="J472" s="1"/>
      <c r="K472" s="1"/>
      <c r="L472" s="1"/>
      <c r="M472" s="1"/>
    </row>
    <row r="473" spans="2:13">
      <c r="B473" s="1"/>
      <c r="C473" s="1"/>
      <c r="D473" s="1"/>
      <c r="E473" s="1"/>
      <c r="I473" s="1"/>
      <c r="J473" s="1"/>
      <c r="K473" s="1"/>
      <c r="L473" s="1"/>
      <c r="M473" s="1"/>
    </row>
    <row r="474" spans="2:13">
      <c r="B474" s="1"/>
      <c r="C474" s="1"/>
      <c r="D474" s="1"/>
      <c r="E474" s="1"/>
      <c r="G474" s="1"/>
      <c r="H474" s="1"/>
      <c r="I474" s="1"/>
      <c r="J474" s="1"/>
      <c r="K474" s="1"/>
      <c r="L474" s="1"/>
      <c r="M474" s="1"/>
    </row>
    <row r="475" spans="2:13">
      <c r="B475" s="1"/>
      <c r="C475" s="1"/>
      <c r="D475" s="1"/>
      <c r="E475" s="1"/>
      <c r="G475" s="1"/>
      <c r="H475" s="1"/>
      <c r="I475" s="1"/>
      <c r="J475" s="1"/>
      <c r="K475" s="1"/>
      <c r="L475" s="1"/>
      <c r="M475" s="1"/>
    </row>
    <row r="476" spans="2:13">
      <c r="B476" s="1"/>
      <c r="C476" s="1"/>
      <c r="D476" s="1"/>
      <c r="E476" s="1"/>
      <c r="I476" s="1"/>
      <c r="J476" s="1"/>
      <c r="K476" s="1"/>
      <c r="L476" s="1"/>
      <c r="M476" s="1"/>
    </row>
    <row r="477" spans="2:13">
      <c r="B477" s="1"/>
      <c r="C477" s="1"/>
      <c r="D477" s="1"/>
      <c r="E477" s="1"/>
      <c r="I477" s="1"/>
      <c r="J477" s="1"/>
      <c r="K477" s="1"/>
      <c r="L477" s="1"/>
      <c r="M477" s="1"/>
    </row>
    <row r="478" spans="2:13">
      <c r="B478" s="1"/>
      <c r="C478" s="1"/>
      <c r="D478" s="1"/>
      <c r="E478" s="1"/>
      <c r="I478" s="1"/>
      <c r="J478" s="1"/>
      <c r="K478" s="1"/>
      <c r="L478" s="1"/>
      <c r="M478" s="1"/>
    </row>
    <row r="479" spans="2:13">
      <c r="B479" s="1"/>
      <c r="C479" s="1"/>
      <c r="D479" s="1"/>
      <c r="E479" s="1"/>
      <c r="I479" s="1"/>
      <c r="J479" s="1"/>
      <c r="K479" s="1"/>
      <c r="L479" s="1"/>
      <c r="M479" s="1"/>
    </row>
    <row r="480" spans="2:13">
      <c r="B480" s="1"/>
      <c r="C480" s="1"/>
      <c r="D480" s="1"/>
      <c r="E480" s="1"/>
      <c r="I480" s="1"/>
      <c r="J480" s="1"/>
      <c r="K480" s="1"/>
      <c r="L480" s="1"/>
      <c r="M480" s="1"/>
    </row>
    <row r="481" spans="2:13">
      <c r="B481" s="1"/>
      <c r="C481" s="1"/>
      <c r="D481" s="1"/>
      <c r="E481" s="1"/>
      <c r="I481" s="1"/>
      <c r="J481" s="1"/>
      <c r="K481" s="1"/>
      <c r="L481" s="1"/>
      <c r="M481" s="1"/>
    </row>
    <row r="482" spans="2:13">
      <c r="B482" s="1"/>
      <c r="C482" s="1"/>
      <c r="D482" s="1"/>
      <c r="E482" s="1"/>
      <c r="I482" s="1"/>
      <c r="J482" s="1"/>
      <c r="K482" s="1"/>
      <c r="L482" s="1"/>
      <c r="M482" s="1"/>
    </row>
    <row r="483" spans="2:13">
      <c r="B483" s="1"/>
      <c r="C483" s="1"/>
      <c r="D483" s="1"/>
      <c r="E483" s="1"/>
      <c r="I483" s="1"/>
      <c r="J483" s="1"/>
      <c r="K483" s="1"/>
      <c r="L483" s="1"/>
      <c r="M483" s="1"/>
    </row>
    <row r="484" spans="2:13">
      <c r="B484" s="1"/>
      <c r="C484" s="1"/>
      <c r="D484" s="1"/>
      <c r="E484" s="1"/>
      <c r="I484" s="1"/>
      <c r="J484" s="1"/>
      <c r="K484" s="1"/>
      <c r="L484" s="1"/>
      <c r="M484" s="1"/>
    </row>
    <row r="485" spans="2:13">
      <c r="B485" s="1"/>
      <c r="C485" s="1"/>
      <c r="D485" s="1"/>
      <c r="E485" s="1"/>
      <c r="I485" s="1"/>
      <c r="J485" s="1"/>
      <c r="K485" s="1"/>
      <c r="L485" s="1"/>
      <c r="M485" s="1"/>
    </row>
    <row r="486" spans="2:13">
      <c r="B486" s="1"/>
      <c r="C486" s="1"/>
      <c r="D486" s="1"/>
      <c r="E486" s="1"/>
      <c r="G486" s="1"/>
      <c r="H486" s="1"/>
      <c r="I486" s="1"/>
      <c r="J486" s="1"/>
      <c r="K486" s="1"/>
      <c r="L486" s="1"/>
      <c r="M486" s="1"/>
    </row>
    <row r="487" spans="2:13">
      <c r="B487" s="1"/>
      <c r="C487" s="1"/>
      <c r="D487" s="1"/>
      <c r="E487" s="1"/>
      <c r="G487" s="1"/>
      <c r="H487" s="1"/>
      <c r="I487" s="1"/>
      <c r="J487" s="1"/>
      <c r="K487" s="1"/>
      <c r="L487" s="1"/>
      <c r="M487" s="1"/>
    </row>
    <row r="488" spans="2:13">
      <c r="B488" s="1"/>
      <c r="C488" s="1"/>
      <c r="D488" s="1"/>
      <c r="E488" s="1"/>
      <c r="G488" s="1"/>
      <c r="H488" s="1"/>
      <c r="I488" s="1"/>
      <c r="J488" s="1"/>
      <c r="K488" s="1"/>
      <c r="L488" s="1"/>
      <c r="M488" s="1"/>
    </row>
    <row r="489" spans="2:13">
      <c r="B489" s="1"/>
      <c r="C489" s="1"/>
      <c r="D489" s="1"/>
      <c r="E489" s="1"/>
      <c r="G489" s="1"/>
      <c r="H489" s="1"/>
      <c r="I489" s="1"/>
      <c r="J489" s="1"/>
      <c r="K489" s="1"/>
      <c r="L489" s="1"/>
      <c r="M489" s="1"/>
    </row>
    <row r="490" spans="2:13">
      <c r="B490" s="1"/>
      <c r="C490" s="1"/>
      <c r="D490" s="1"/>
      <c r="E490" s="1"/>
      <c r="G490" s="1"/>
      <c r="H490" s="1"/>
      <c r="I490" s="1"/>
      <c r="J490" s="1"/>
      <c r="K490" s="1"/>
      <c r="L490" s="1"/>
      <c r="M490" s="1"/>
    </row>
    <row r="491" spans="2:13">
      <c r="B491" s="1"/>
      <c r="C491" s="1"/>
      <c r="D491" s="1"/>
      <c r="E491" s="1"/>
      <c r="G491" s="1"/>
      <c r="H491" s="1"/>
      <c r="I491" s="1"/>
      <c r="J491" s="1"/>
      <c r="K491" s="1"/>
      <c r="L491" s="1"/>
      <c r="M491" s="1"/>
    </row>
    <row r="492" spans="2:13">
      <c r="B492" s="1"/>
      <c r="C492" s="1"/>
      <c r="D492" s="1"/>
      <c r="E492" s="1"/>
      <c r="G492" s="1"/>
      <c r="H492" s="1"/>
      <c r="I492" s="1"/>
      <c r="J492" s="1"/>
      <c r="K492" s="1"/>
      <c r="L492" s="1"/>
      <c r="M492" s="1"/>
    </row>
    <row r="493" spans="2:13">
      <c r="B493" s="1"/>
      <c r="C493" s="1"/>
      <c r="D493" s="1"/>
      <c r="E493" s="1"/>
      <c r="G493" s="1"/>
      <c r="H493" s="1"/>
      <c r="I493" s="1"/>
      <c r="J493" s="1"/>
      <c r="K493" s="1"/>
      <c r="L493" s="2"/>
      <c r="M493" s="1"/>
    </row>
    <row r="494" spans="2:13">
      <c r="B494" s="1"/>
      <c r="C494" s="1"/>
      <c r="D494" s="1"/>
      <c r="E494" s="1"/>
      <c r="G494" s="1"/>
      <c r="H494" s="1"/>
      <c r="I494" s="1"/>
      <c r="J494" s="1"/>
      <c r="K494" s="1"/>
      <c r="L494" s="1"/>
      <c r="M494" s="1"/>
    </row>
    <row r="495" spans="2:13">
      <c r="B495" s="1"/>
      <c r="C495" s="1"/>
      <c r="D495" s="1"/>
      <c r="E495" s="1"/>
      <c r="G495" s="1"/>
      <c r="H495" s="1"/>
      <c r="I495" s="1"/>
      <c r="J495" s="1"/>
      <c r="K495" s="1"/>
      <c r="L495" s="1"/>
      <c r="M495" s="1"/>
    </row>
    <row r="496" spans="2:13">
      <c r="B496" s="1"/>
      <c r="C496" s="1"/>
      <c r="D496" s="1"/>
      <c r="E496" s="1"/>
      <c r="G496" s="1"/>
      <c r="H496" s="1"/>
      <c r="I496" s="1"/>
      <c r="J496" s="1"/>
      <c r="K496" s="1"/>
      <c r="L496" s="1"/>
      <c r="M496" s="1"/>
    </row>
    <row r="497" spans="2:13">
      <c r="B497" s="1"/>
      <c r="C497" s="1"/>
      <c r="D497" s="1"/>
      <c r="E497" s="1"/>
      <c r="G497" s="1"/>
      <c r="H497" s="1"/>
      <c r="I497" s="1"/>
      <c r="J497" s="1"/>
      <c r="K497" s="1"/>
      <c r="L497" s="1"/>
      <c r="M497" s="1"/>
    </row>
    <row r="498" spans="2:13">
      <c r="B498" s="1"/>
      <c r="C498" s="1"/>
      <c r="D498" s="1"/>
      <c r="E498" s="1"/>
      <c r="G498" s="1"/>
      <c r="H498" s="1"/>
      <c r="I498" s="1"/>
      <c r="J498" s="1"/>
      <c r="K498" s="1"/>
      <c r="L498" s="1"/>
      <c r="M498" s="1"/>
    </row>
    <row r="499" spans="2:13">
      <c r="B499" s="1"/>
      <c r="C499" s="1"/>
      <c r="D499" s="1"/>
      <c r="E499" s="1"/>
      <c r="G499" s="1"/>
      <c r="H499" s="1"/>
      <c r="I499" s="1"/>
      <c r="J499" s="1"/>
      <c r="K499" s="1"/>
      <c r="L499" s="1"/>
      <c r="M499" s="1"/>
    </row>
    <row r="500" spans="2:13">
      <c r="B500" s="1"/>
      <c r="C500" s="1"/>
      <c r="D500" s="1"/>
      <c r="E500" s="1"/>
      <c r="G500" s="1"/>
      <c r="H500" s="1"/>
      <c r="I500" s="1"/>
      <c r="J500" s="1"/>
      <c r="K500" s="1"/>
      <c r="L500" s="1"/>
      <c r="M500" s="1"/>
    </row>
    <row r="501" spans="2:13">
      <c r="B501" s="1"/>
      <c r="C501" s="1"/>
      <c r="D501" s="1"/>
      <c r="E501" s="1"/>
      <c r="G501" s="1"/>
      <c r="H501" s="1"/>
      <c r="I501" s="1"/>
      <c r="J501" s="1"/>
      <c r="K501" s="1"/>
      <c r="L501" s="1"/>
      <c r="M501" s="1"/>
    </row>
    <row r="502" spans="2:13">
      <c r="B502" s="1"/>
      <c r="C502" s="1"/>
      <c r="D502" s="1"/>
      <c r="E502" s="1"/>
      <c r="G502" s="1"/>
      <c r="H502" s="1"/>
      <c r="I502" s="1"/>
      <c r="J502" s="1"/>
      <c r="K502" s="1"/>
      <c r="L502" s="1"/>
      <c r="M502" s="1"/>
    </row>
    <row r="503" spans="2:13">
      <c r="B503" s="1"/>
      <c r="C503" s="1"/>
      <c r="D503" s="1"/>
      <c r="E503" s="1"/>
      <c r="G503" s="1"/>
      <c r="H503" s="1"/>
      <c r="I503" s="1"/>
      <c r="J503" s="1"/>
      <c r="K503" s="1"/>
      <c r="L503" s="1"/>
      <c r="M503" s="1"/>
    </row>
    <row r="504" spans="2:13">
      <c r="B504" s="1"/>
      <c r="C504" s="1"/>
      <c r="D504" s="1"/>
      <c r="E504" s="1"/>
      <c r="G504" s="1"/>
      <c r="H504" s="1"/>
      <c r="I504" s="1"/>
      <c r="J504" s="1"/>
      <c r="K504" s="1"/>
      <c r="L504" s="1"/>
      <c r="M504" s="1"/>
    </row>
    <row r="505" spans="2:13">
      <c r="B505" s="1"/>
      <c r="C505" s="1"/>
      <c r="D505" s="1"/>
      <c r="E505" s="1"/>
      <c r="G505" s="1"/>
      <c r="H505" s="1"/>
      <c r="I505" s="1"/>
      <c r="J505" s="1"/>
      <c r="K505" s="1"/>
      <c r="L505" s="1"/>
      <c r="M505" s="1"/>
    </row>
    <row r="506" spans="2:13">
      <c r="B506" s="1"/>
      <c r="C506" s="1"/>
      <c r="D506" s="1"/>
      <c r="E506" s="1"/>
      <c r="G506" s="1"/>
      <c r="H506" s="1"/>
      <c r="I506" s="1"/>
      <c r="J506" s="1"/>
      <c r="K506" s="1"/>
      <c r="L506" s="1"/>
      <c r="M506" s="1"/>
    </row>
    <row r="507" spans="2:1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2:1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1D88-5B98-49B0-9D1B-962D3F605E48}">
  <dimension ref="A1:S51"/>
  <sheetViews>
    <sheetView topLeftCell="F1" workbookViewId="0">
      <selection activeCell="S5" sqref="S5"/>
    </sheetView>
  </sheetViews>
  <sheetFormatPr defaultRowHeight="15"/>
  <cols>
    <col min="2" max="2" width="18.140625" bestFit="1" customWidth="1"/>
    <col min="3" max="3" width="13" bestFit="1" customWidth="1"/>
    <col min="4" max="4" width="21.85546875" bestFit="1" customWidth="1"/>
    <col min="6" max="6" width="33.28515625" customWidth="1"/>
    <col min="12" max="12" width="20.7109375" bestFit="1" customWidth="1"/>
    <col min="17" max="17" width="13.7109375" bestFit="1" customWidth="1"/>
  </cols>
  <sheetData>
    <row r="1" spans="1:19" ht="15.75">
      <c r="A1" s="51" t="s">
        <v>90</v>
      </c>
      <c r="B1" s="52" t="s">
        <v>15</v>
      </c>
      <c r="C1" s="53" t="s">
        <v>91</v>
      </c>
      <c r="D1" s="52" t="s">
        <v>92</v>
      </c>
      <c r="E1" s="52" t="s">
        <v>93</v>
      </c>
      <c r="F1" s="52" t="s">
        <v>35</v>
      </c>
      <c r="G1" s="52" t="s">
        <v>94</v>
      </c>
      <c r="H1" s="52" t="s">
        <v>95</v>
      </c>
      <c r="I1" s="52" t="s">
        <v>96</v>
      </c>
      <c r="J1" s="52" t="s">
        <v>97</v>
      </c>
      <c r="K1" s="52" t="s">
        <v>98</v>
      </c>
      <c r="L1" s="52" t="s">
        <v>99</v>
      </c>
    </row>
    <row r="2" spans="1:19">
      <c r="A2" s="54">
        <v>1</v>
      </c>
      <c r="B2" s="54" t="s">
        <v>20</v>
      </c>
      <c r="C2" s="54" t="s">
        <v>1062</v>
      </c>
      <c r="D2" s="54" t="s">
        <v>1063</v>
      </c>
      <c r="E2" s="54" t="s">
        <v>102</v>
      </c>
      <c r="F2" s="54" t="s">
        <v>82</v>
      </c>
      <c r="G2" s="55"/>
      <c r="H2" s="54"/>
      <c r="I2" s="54"/>
      <c r="J2" s="54"/>
      <c r="K2" s="54"/>
      <c r="L2" s="54" t="s">
        <v>12</v>
      </c>
    </row>
    <row r="3" spans="1:19">
      <c r="A3" s="54">
        <v>2</v>
      </c>
      <c r="B3" s="54" t="s">
        <v>20</v>
      </c>
      <c r="C3" s="54" t="s">
        <v>1064</v>
      </c>
      <c r="D3" s="54" t="s">
        <v>1065</v>
      </c>
      <c r="E3" s="54" t="s">
        <v>402</v>
      </c>
      <c r="F3" s="54" t="s">
        <v>82</v>
      </c>
      <c r="G3" s="55"/>
      <c r="H3" s="55"/>
      <c r="I3" s="55"/>
      <c r="J3" s="54"/>
      <c r="K3" s="54"/>
      <c r="L3" s="54" t="s">
        <v>12</v>
      </c>
    </row>
    <row r="4" spans="1:19">
      <c r="A4" s="54">
        <v>3</v>
      </c>
      <c r="B4" s="54" t="s">
        <v>20</v>
      </c>
      <c r="C4" s="54" t="s">
        <v>1071</v>
      </c>
      <c r="D4" s="54" t="s">
        <v>1072</v>
      </c>
      <c r="E4" s="54" t="s">
        <v>177</v>
      </c>
      <c r="F4" s="54" t="s">
        <v>82</v>
      </c>
      <c r="G4" s="55"/>
      <c r="H4" s="55"/>
      <c r="I4" s="55"/>
      <c r="J4" s="54"/>
      <c r="K4" s="54"/>
      <c r="L4" s="54" t="s">
        <v>12</v>
      </c>
      <c r="P4" t="s">
        <v>1291</v>
      </c>
      <c r="Q4" t="s">
        <v>1292</v>
      </c>
      <c r="R4" t="s">
        <v>1293</v>
      </c>
      <c r="S4" t="s">
        <v>1294</v>
      </c>
    </row>
    <row r="5" spans="1:19">
      <c r="A5" s="54">
        <v>4</v>
      </c>
      <c r="B5" s="54" t="s">
        <v>20</v>
      </c>
      <c r="C5" s="54" t="s">
        <v>1110</v>
      </c>
      <c r="D5" s="54" t="s">
        <v>1111</v>
      </c>
      <c r="E5" s="54" t="s">
        <v>1112</v>
      </c>
      <c r="F5" s="54" t="s">
        <v>82</v>
      </c>
      <c r="G5" s="55"/>
      <c r="H5" s="55"/>
      <c r="I5" s="55"/>
      <c r="J5" s="54"/>
      <c r="K5" s="54"/>
      <c r="L5" s="54" t="s">
        <v>12</v>
      </c>
      <c r="P5" s="14">
        <v>1</v>
      </c>
      <c r="Q5" s="57" t="s">
        <v>32</v>
      </c>
      <c r="R5">
        <f>COUNTIF($B$2:$B$503,Q5)</f>
        <v>8</v>
      </c>
      <c r="S5" cm="1">
        <f t="array" ref="S5">SUMPRODUCT(($B$2:$B$503=Q5)*($K$2:$M$503&lt;&gt;""))</f>
        <v>8</v>
      </c>
    </row>
    <row r="6" spans="1:19">
      <c r="A6" s="54">
        <v>5</v>
      </c>
      <c r="B6" s="54" t="s">
        <v>20</v>
      </c>
      <c r="C6" s="54" t="s">
        <v>1117</v>
      </c>
      <c r="D6" s="54" t="s">
        <v>1118</v>
      </c>
      <c r="E6" s="54" t="s">
        <v>436</v>
      </c>
      <c r="F6" s="54" t="s">
        <v>82</v>
      </c>
      <c r="G6" s="55"/>
      <c r="H6" s="55"/>
      <c r="I6" s="54"/>
      <c r="J6" s="54"/>
      <c r="K6" s="54"/>
      <c r="L6" s="54" t="s">
        <v>12</v>
      </c>
      <c r="P6" s="14">
        <v>2</v>
      </c>
      <c r="Q6" s="56" t="s">
        <v>25</v>
      </c>
      <c r="R6">
        <f>COUNTIF($B$2:$B$503,Q6)</f>
        <v>7</v>
      </c>
      <c r="S6" cm="1">
        <f t="array" ref="S6">SUMPRODUCT(($B$2:$B$503=Q6)*($K$2:$M$503&lt;&gt;""))</f>
        <v>7</v>
      </c>
    </row>
    <row r="7" spans="1:19">
      <c r="A7" s="54">
        <v>6</v>
      </c>
      <c r="B7" s="54" t="s">
        <v>21</v>
      </c>
      <c r="C7" s="54" t="s">
        <v>430</v>
      </c>
      <c r="D7" s="54" t="s">
        <v>431</v>
      </c>
      <c r="E7" s="54" t="s">
        <v>159</v>
      </c>
      <c r="F7" s="54" t="s">
        <v>53</v>
      </c>
      <c r="G7" s="55"/>
      <c r="H7" s="55"/>
      <c r="I7" s="54"/>
      <c r="J7" s="54"/>
      <c r="K7" s="54"/>
      <c r="L7" s="54" t="s">
        <v>12</v>
      </c>
      <c r="P7" s="14">
        <v>3</v>
      </c>
      <c r="Q7" s="56" t="s">
        <v>1295</v>
      </c>
      <c r="R7">
        <f>COUNTIF($B$2:$B$503,Q7)</f>
        <v>7</v>
      </c>
      <c r="S7" cm="1">
        <f t="array" ref="S7">SUMPRODUCT(($B$2:$B$503=Q7)*($K$2:$M$503&lt;&gt;""))</f>
        <v>7</v>
      </c>
    </row>
    <row r="8" spans="1:19">
      <c r="A8" s="54">
        <v>7</v>
      </c>
      <c r="B8" s="54" t="s">
        <v>21</v>
      </c>
      <c r="C8" s="54" t="s">
        <v>432</v>
      </c>
      <c r="D8" s="54" t="s">
        <v>433</v>
      </c>
      <c r="E8" s="54" t="s">
        <v>159</v>
      </c>
      <c r="F8" s="54" t="s">
        <v>53</v>
      </c>
      <c r="G8" s="55"/>
      <c r="H8" s="55"/>
      <c r="I8" s="54"/>
      <c r="J8" s="54"/>
      <c r="K8" s="54"/>
      <c r="L8" s="54" t="s">
        <v>12</v>
      </c>
      <c r="P8" s="14">
        <v>4</v>
      </c>
      <c r="Q8" s="56" t="s">
        <v>20</v>
      </c>
      <c r="R8">
        <f>COUNTIF($B$2:$B$503,Q8)</f>
        <v>5</v>
      </c>
      <c r="S8" cm="1">
        <f t="array" ref="S8">SUMPRODUCT(($B$2:$B$503=Q8)*($K$2:$M$503&lt;&gt;""))</f>
        <v>5</v>
      </c>
    </row>
    <row r="9" spans="1:19">
      <c r="A9" s="54">
        <v>8</v>
      </c>
      <c r="B9" s="54" t="s">
        <v>21</v>
      </c>
      <c r="C9" s="54" t="s">
        <v>525</v>
      </c>
      <c r="D9" s="54" t="s">
        <v>526</v>
      </c>
      <c r="E9" s="54" t="s">
        <v>159</v>
      </c>
      <c r="F9" s="16" t="s">
        <v>524</v>
      </c>
      <c r="G9" s="55"/>
      <c r="H9" s="55"/>
      <c r="I9" s="54"/>
      <c r="J9" s="54"/>
      <c r="K9" s="54"/>
      <c r="L9" s="54" t="s">
        <v>12</v>
      </c>
      <c r="P9" s="14">
        <v>5</v>
      </c>
      <c r="Q9" s="56" t="s">
        <v>1296</v>
      </c>
      <c r="R9">
        <f>COUNTIF($B$2:$B$503,Q9)</f>
        <v>3</v>
      </c>
      <c r="S9" cm="1">
        <f t="array" ref="S9">SUMPRODUCT(($B$2:$B$503=Q9)*($K$2:$M$503&lt;&gt;""))</f>
        <v>3</v>
      </c>
    </row>
    <row r="10" spans="1:19">
      <c r="A10" s="54">
        <v>9</v>
      </c>
      <c r="B10" s="54" t="s">
        <v>21</v>
      </c>
      <c r="C10" s="54" t="s">
        <v>541</v>
      </c>
      <c r="D10" s="54" t="s">
        <v>542</v>
      </c>
      <c r="E10" s="54" t="s">
        <v>159</v>
      </c>
      <c r="F10" s="16" t="s">
        <v>524</v>
      </c>
      <c r="G10" s="55"/>
      <c r="H10" s="55"/>
      <c r="I10" s="54"/>
      <c r="J10" s="54"/>
      <c r="K10" s="54"/>
      <c r="L10" s="54" t="s">
        <v>12</v>
      </c>
      <c r="P10" s="14">
        <v>6</v>
      </c>
      <c r="Q10" s="56" t="s">
        <v>22</v>
      </c>
      <c r="R10">
        <f>COUNTIF($B$2:$B$503,Q10)</f>
        <v>5</v>
      </c>
      <c r="S10" cm="1">
        <f t="array" ref="S10">SUMPRODUCT(($B$2:$B$503=Q10)*($K$2:$M$503&lt;&gt;""))</f>
        <v>5</v>
      </c>
    </row>
    <row r="11" spans="1:19">
      <c r="A11" s="54">
        <v>10</v>
      </c>
      <c r="B11" s="54" t="s">
        <v>21</v>
      </c>
      <c r="C11" s="54" t="s">
        <v>543</v>
      </c>
      <c r="D11" s="54" t="s">
        <v>544</v>
      </c>
      <c r="E11" s="54" t="s">
        <v>159</v>
      </c>
      <c r="F11" s="16" t="s">
        <v>545</v>
      </c>
      <c r="G11" s="55"/>
      <c r="H11" s="55"/>
      <c r="I11" s="55"/>
      <c r="J11" s="54"/>
      <c r="K11" s="54"/>
      <c r="L11" s="54" t="s">
        <v>12</v>
      </c>
      <c r="P11" s="14">
        <v>7</v>
      </c>
      <c r="Q11" s="56" t="s">
        <v>21</v>
      </c>
      <c r="R11">
        <f>COUNTIF($B$2:$B$503,Q11)</f>
        <v>6</v>
      </c>
      <c r="S11" cm="1">
        <f t="array" ref="S11">SUMPRODUCT(($B$2:$B$503=Q11)*($K$2:$M$503&lt;&gt;""))</f>
        <v>6</v>
      </c>
    </row>
    <row r="12" spans="1:19">
      <c r="A12" s="54">
        <v>11</v>
      </c>
      <c r="B12" s="54" t="s">
        <v>21</v>
      </c>
      <c r="C12" s="54" t="s">
        <v>549</v>
      </c>
      <c r="D12" s="54" t="s">
        <v>550</v>
      </c>
      <c r="E12" s="54" t="s">
        <v>159</v>
      </c>
      <c r="F12" s="16" t="s">
        <v>545</v>
      </c>
      <c r="G12" s="55"/>
      <c r="H12" s="55"/>
      <c r="I12" s="55"/>
      <c r="J12" s="54"/>
      <c r="K12" s="54"/>
      <c r="L12" s="54" t="s">
        <v>12</v>
      </c>
      <c r="P12" s="14">
        <v>8</v>
      </c>
      <c r="Q12" s="56" t="s">
        <v>1297</v>
      </c>
      <c r="R12">
        <f>COUNTIF($B$2:$B$503,Q12)</f>
        <v>4</v>
      </c>
      <c r="S12" cm="1">
        <f t="array" ref="S12">SUMPRODUCT(($B$2:$B$503=Q12)*($K$2:$M$503&lt;&gt;""))</f>
        <v>4</v>
      </c>
    </row>
    <row r="13" spans="1:19">
      <c r="A13" s="54">
        <v>12</v>
      </c>
      <c r="B13" s="54" t="s">
        <v>22</v>
      </c>
      <c r="C13" s="54" t="s">
        <v>847</v>
      </c>
      <c r="D13" s="54" t="s">
        <v>848</v>
      </c>
      <c r="E13" s="54" t="s">
        <v>143</v>
      </c>
      <c r="F13" s="54" t="s">
        <v>69</v>
      </c>
      <c r="G13" s="55"/>
      <c r="H13" s="54"/>
      <c r="I13" s="54"/>
      <c r="J13" s="54"/>
      <c r="K13" s="54"/>
      <c r="L13" s="54" t="s">
        <v>12</v>
      </c>
      <c r="P13" s="14">
        <v>9</v>
      </c>
      <c r="Q13" s="56" t="s">
        <v>29</v>
      </c>
      <c r="R13">
        <f>COUNTIF($B$2:$B$503,Q13)</f>
        <v>1</v>
      </c>
      <c r="S13" cm="1">
        <f t="array" ref="S13">SUMPRODUCT(($B$2:$B$503=Q13)*($K$2:$M$503&lt;&gt;""))</f>
        <v>1</v>
      </c>
    </row>
    <row r="14" spans="1:19">
      <c r="A14" s="54">
        <v>13</v>
      </c>
      <c r="B14" s="54" t="s">
        <v>22</v>
      </c>
      <c r="C14" s="54" t="s">
        <v>849</v>
      </c>
      <c r="D14" s="54" t="s">
        <v>850</v>
      </c>
      <c r="E14" s="54" t="s">
        <v>143</v>
      </c>
      <c r="F14" s="54" t="s">
        <v>69</v>
      </c>
      <c r="G14" s="55"/>
      <c r="H14" s="54"/>
      <c r="I14" s="54"/>
      <c r="J14" s="54"/>
      <c r="K14" s="54"/>
      <c r="L14" s="54" t="s">
        <v>12</v>
      </c>
      <c r="P14" s="14">
        <v>10</v>
      </c>
      <c r="Q14" s="56" t="s">
        <v>1298</v>
      </c>
      <c r="R14">
        <f>COUNTIF($B$2:$B$503,Q14)</f>
        <v>4</v>
      </c>
      <c r="S14" cm="1">
        <f t="array" ref="S14">SUMPRODUCT(($B$2:$B$503=Q14)*($K$2:$M$503&lt;&gt;""))</f>
        <v>4</v>
      </c>
    </row>
    <row r="15" spans="1:19">
      <c r="A15" s="54">
        <v>14</v>
      </c>
      <c r="B15" s="54" t="s">
        <v>22</v>
      </c>
      <c r="C15" s="54" t="s">
        <v>851</v>
      </c>
      <c r="D15" s="54" t="s">
        <v>852</v>
      </c>
      <c r="E15" s="54" t="s">
        <v>143</v>
      </c>
      <c r="F15" s="132" t="s">
        <v>69</v>
      </c>
      <c r="G15" s="55"/>
      <c r="H15" s="54"/>
      <c r="I15" s="54"/>
      <c r="J15" s="54"/>
      <c r="K15" s="54"/>
      <c r="L15" s="54" t="s">
        <v>12</v>
      </c>
      <c r="P15" s="14">
        <v>11</v>
      </c>
      <c r="Q15" s="56" t="s">
        <v>27</v>
      </c>
      <c r="R15">
        <f>COUNTIF($B$2:$B$503,Q15)</f>
        <v>0</v>
      </c>
      <c r="S15" cm="1">
        <f t="array" ref="S15">SUMPRODUCT(($B$2:$B$503=Q15)*($K$2:$M$503&lt;&gt;""))</f>
        <v>0</v>
      </c>
    </row>
    <row r="16" spans="1:19">
      <c r="A16" s="54">
        <v>15</v>
      </c>
      <c r="B16" s="54" t="s">
        <v>22</v>
      </c>
      <c r="C16" s="54" t="s">
        <v>853</v>
      </c>
      <c r="D16" s="54" t="s">
        <v>854</v>
      </c>
      <c r="E16" s="54" t="s">
        <v>143</v>
      </c>
      <c r="F16" s="132" t="s">
        <v>69</v>
      </c>
      <c r="G16" s="55"/>
      <c r="H16" s="54"/>
      <c r="I16" s="54"/>
      <c r="J16" s="54"/>
      <c r="K16" s="54"/>
      <c r="L16" s="54" t="s">
        <v>12</v>
      </c>
      <c r="P16" s="14">
        <v>12</v>
      </c>
      <c r="Q16" s="56" t="s">
        <v>1299</v>
      </c>
      <c r="R16">
        <f>COUNTIF($B$2:$B$503,Q16)</f>
        <v>0</v>
      </c>
      <c r="S16" cm="1">
        <f t="array" ref="S16">SUMPRODUCT(($B$2:$B$503=Q16)*($K$2:$M$503&lt;&gt;""))</f>
        <v>0</v>
      </c>
    </row>
    <row r="17" spans="1:19">
      <c r="A17" s="54">
        <v>16</v>
      </c>
      <c r="B17" s="54" t="s">
        <v>22</v>
      </c>
      <c r="C17" s="54" t="s">
        <v>951</v>
      </c>
      <c r="D17" s="54" t="s">
        <v>865</v>
      </c>
      <c r="E17" s="54" t="s">
        <v>952</v>
      </c>
      <c r="F17" s="56" t="s">
        <v>948</v>
      </c>
      <c r="G17" s="55"/>
      <c r="H17" s="55"/>
      <c r="I17" s="55"/>
      <c r="J17" s="54"/>
      <c r="K17" s="54"/>
      <c r="L17" s="54" t="s">
        <v>12</v>
      </c>
      <c r="P17" s="14">
        <v>13</v>
      </c>
      <c r="Q17" s="56" t="s">
        <v>1300</v>
      </c>
      <c r="R17">
        <f>COUNTIF($B$2:$B$503,Q17)</f>
        <v>0</v>
      </c>
      <c r="S17" cm="1">
        <f t="array" ref="S17">SUMPRODUCT(($B$2:$B$503=Q17)*($K$2:$M$503&lt;&gt;""))</f>
        <v>0</v>
      </c>
    </row>
    <row r="18" spans="1:19">
      <c r="A18" s="54">
        <v>17</v>
      </c>
      <c r="B18" s="54" t="s">
        <v>25</v>
      </c>
      <c r="C18" s="54" t="s">
        <v>689</v>
      </c>
      <c r="D18" s="54" t="s">
        <v>690</v>
      </c>
      <c r="E18" s="54" t="s">
        <v>226</v>
      </c>
      <c r="F18" s="132" t="s">
        <v>64</v>
      </c>
      <c r="G18" s="55"/>
      <c r="H18" s="55"/>
      <c r="I18" s="55"/>
      <c r="J18" s="54"/>
      <c r="K18" s="54"/>
      <c r="L18" s="54" t="s">
        <v>12</v>
      </c>
      <c r="P18" s="14">
        <v>14</v>
      </c>
      <c r="Q18" s="56" t="s">
        <v>24</v>
      </c>
      <c r="R18">
        <f>COUNTIF($B$2:$B$503,Q18)</f>
        <v>0</v>
      </c>
      <c r="S18" cm="1">
        <f t="array" ref="S18">SUMPRODUCT(($B$2:$B$503=Q18)*($K$2:$M$503&lt;&gt;""))</f>
        <v>0</v>
      </c>
    </row>
    <row r="19" spans="1:19">
      <c r="A19" s="54">
        <v>18</v>
      </c>
      <c r="B19" s="54" t="s">
        <v>25</v>
      </c>
      <c r="C19" s="54" t="s">
        <v>698</v>
      </c>
      <c r="D19" s="54" t="s">
        <v>699</v>
      </c>
      <c r="E19" s="54" t="s">
        <v>276</v>
      </c>
      <c r="F19" s="54" t="s">
        <v>64</v>
      </c>
      <c r="G19" s="55"/>
      <c r="H19" s="55"/>
      <c r="I19" s="55"/>
      <c r="J19" s="54"/>
      <c r="K19" s="54"/>
      <c r="L19" s="54" t="s">
        <v>12</v>
      </c>
      <c r="P19" s="14"/>
      <c r="Q19" s="98"/>
      <c r="R19">
        <f>SUBTOTAL(109,R5:R18)</f>
        <v>50</v>
      </c>
      <c r="S19">
        <f>SUBTOTAL(109,S5:S18)</f>
        <v>50</v>
      </c>
    </row>
    <row r="20" spans="1:19">
      <c r="A20" s="54">
        <v>19</v>
      </c>
      <c r="B20" s="54" t="s">
        <v>25</v>
      </c>
      <c r="C20" s="54" t="s">
        <v>705</v>
      </c>
      <c r="D20" s="54" t="s">
        <v>706</v>
      </c>
      <c r="E20" s="54" t="s">
        <v>231</v>
      </c>
      <c r="F20" s="54" t="s">
        <v>64</v>
      </c>
      <c r="G20" s="55"/>
      <c r="H20" s="54"/>
      <c r="I20" s="54"/>
      <c r="J20" s="54"/>
      <c r="K20" s="54"/>
      <c r="L20" s="54" t="s">
        <v>12</v>
      </c>
    </row>
    <row r="21" spans="1:19">
      <c r="A21" s="54">
        <v>20</v>
      </c>
      <c r="B21" s="54" t="s">
        <v>25</v>
      </c>
      <c r="C21" s="54" t="s">
        <v>711</v>
      </c>
      <c r="D21" s="54" t="s">
        <v>712</v>
      </c>
      <c r="E21" s="54" t="s">
        <v>713</v>
      </c>
      <c r="F21" s="54" t="s">
        <v>64</v>
      </c>
      <c r="G21" s="55"/>
      <c r="H21" s="54"/>
      <c r="I21" s="54"/>
      <c r="J21" s="54"/>
      <c r="K21" s="54"/>
      <c r="L21" s="54" t="s">
        <v>12</v>
      </c>
    </row>
    <row r="22" spans="1:19">
      <c r="A22" s="54">
        <v>21</v>
      </c>
      <c r="B22" s="54" t="s">
        <v>25</v>
      </c>
      <c r="C22" s="54" t="s">
        <v>727</v>
      </c>
      <c r="D22" s="54" t="s">
        <v>728</v>
      </c>
      <c r="E22" s="54" t="s">
        <v>276</v>
      </c>
      <c r="F22" s="54" t="s">
        <v>64</v>
      </c>
      <c r="G22" s="55"/>
      <c r="H22" s="55"/>
      <c r="I22" s="54"/>
      <c r="J22" s="54"/>
      <c r="K22" s="54"/>
      <c r="L22" s="54" t="s">
        <v>12</v>
      </c>
    </row>
    <row r="23" spans="1:19">
      <c r="A23" s="54">
        <v>22</v>
      </c>
      <c r="B23" s="54" t="s">
        <v>25</v>
      </c>
      <c r="C23" s="54" t="s">
        <v>782</v>
      </c>
      <c r="D23" s="54" t="s">
        <v>783</v>
      </c>
      <c r="E23" s="54" t="s">
        <v>402</v>
      </c>
      <c r="F23" s="54" t="s">
        <v>67</v>
      </c>
      <c r="G23" s="55"/>
      <c r="H23" s="55"/>
      <c r="I23" s="55"/>
      <c r="J23" s="54"/>
      <c r="K23" s="54"/>
      <c r="L23" s="54" t="s">
        <v>12</v>
      </c>
    </row>
    <row r="24" spans="1:19">
      <c r="A24" s="54">
        <v>23</v>
      </c>
      <c r="B24" s="54" t="s">
        <v>25</v>
      </c>
      <c r="C24" s="54" t="s">
        <v>1006</v>
      </c>
      <c r="D24" s="54" t="s">
        <v>1007</v>
      </c>
      <c r="E24" s="54" t="s">
        <v>226</v>
      </c>
      <c r="F24" s="54" t="s">
        <v>79</v>
      </c>
      <c r="G24" s="55"/>
      <c r="H24" s="55"/>
      <c r="I24" s="54"/>
      <c r="J24" s="54"/>
      <c r="K24" s="54"/>
      <c r="L24" s="54" t="s">
        <v>12</v>
      </c>
    </row>
    <row r="25" spans="1:19">
      <c r="A25" s="54">
        <v>24</v>
      </c>
      <c r="B25" s="54" t="s">
        <v>26</v>
      </c>
      <c r="C25" s="54" t="s">
        <v>1274</v>
      </c>
      <c r="D25" s="54" t="s">
        <v>1275</v>
      </c>
      <c r="E25" s="54" t="s">
        <v>226</v>
      </c>
      <c r="F25" s="54" t="s">
        <v>89</v>
      </c>
      <c r="G25" s="55"/>
      <c r="H25" s="55"/>
      <c r="I25" s="55"/>
      <c r="J25" s="54"/>
      <c r="K25" s="54"/>
      <c r="L25" s="54" t="s">
        <v>12</v>
      </c>
    </row>
    <row r="26" spans="1:19">
      <c r="A26" s="54">
        <v>25</v>
      </c>
      <c r="B26" s="54" t="s">
        <v>26</v>
      </c>
      <c r="C26" s="54" t="s">
        <v>1278</v>
      </c>
      <c r="D26" s="54" t="s">
        <v>1279</v>
      </c>
      <c r="E26" s="54" t="s">
        <v>226</v>
      </c>
      <c r="F26" s="54" t="s">
        <v>89</v>
      </c>
      <c r="G26" s="55"/>
      <c r="H26" s="54"/>
      <c r="I26" s="54"/>
      <c r="J26" s="54"/>
      <c r="K26" s="54"/>
      <c r="L26" s="54" t="s">
        <v>12</v>
      </c>
    </row>
    <row r="27" spans="1:19">
      <c r="A27" s="54">
        <v>26</v>
      </c>
      <c r="B27" s="54" t="s">
        <v>26</v>
      </c>
      <c r="C27" s="54" t="s">
        <v>1286</v>
      </c>
      <c r="D27" s="54" t="s">
        <v>1287</v>
      </c>
      <c r="E27" s="54" t="s">
        <v>226</v>
      </c>
      <c r="F27" s="54" t="s">
        <v>89</v>
      </c>
      <c r="G27" s="55"/>
      <c r="H27" s="54"/>
      <c r="I27" s="54"/>
      <c r="J27" s="54"/>
      <c r="K27" s="54"/>
      <c r="L27" s="54" t="s">
        <v>12</v>
      </c>
    </row>
    <row r="28" spans="1:19">
      <c r="A28" s="54">
        <v>27</v>
      </c>
      <c r="B28" s="54" t="s">
        <v>28</v>
      </c>
      <c r="C28" s="54" t="s">
        <v>1049</v>
      </c>
      <c r="D28" s="54" t="s">
        <v>1050</v>
      </c>
      <c r="E28" s="54" t="s">
        <v>102</v>
      </c>
      <c r="F28" s="54" t="s">
        <v>81</v>
      </c>
      <c r="G28" s="55"/>
      <c r="H28" s="54"/>
      <c r="I28" s="54"/>
      <c r="J28" s="54"/>
      <c r="K28" s="54"/>
      <c r="L28" s="54" t="s">
        <v>12</v>
      </c>
    </row>
    <row r="29" spans="1:19">
      <c r="A29" s="54">
        <v>28</v>
      </c>
      <c r="B29" s="54" t="s">
        <v>28</v>
      </c>
      <c r="C29" s="54" t="s">
        <v>1060</v>
      </c>
      <c r="D29" s="54" t="s">
        <v>1061</v>
      </c>
      <c r="E29" s="54" t="s">
        <v>143</v>
      </c>
      <c r="F29" s="54" t="s">
        <v>81</v>
      </c>
      <c r="G29" s="55"/>
      <c r="H29" s="54"/>
      <c r="I29" s="54"/>
      <c r="J29" s="54"/>
      <c r="K29" s="54"/>
      <c r="L29" s="54" t="s">
        <v>12</v>
      </c>
    </row>
    <row r="30" spans="1:19">
      <c r="A30" s="54">
        <v>29</v>
      </c>
      <c r="B30" s="54" t="s">
        <v>28</v>
      </c>
      <c r="C30" s="54" t="s">
        <v>1206</v>
      </c>
      <c r="D30" s="54" t="s">
        <v>1207</v>
      </c>
      <c r="E30" s="54" t="s">
        <v>102</v>
      </c>
      <c r="F30" s="132" t="s">
        <v>86</v>
      </c>
      <c r="G30" s="55"/>
      <c r="H30" s="55"/>
      <c r="I30" s="54"/>
      <c r="J30" s="54"/>
      <c r="K30" s="54"/>
      <c r="L30" s="54" t="s">
        <v>12</v>
      </c>
    </row>
    <row r="31" spans="1:19">
      <c r="A31" s="54">
        <v>30</v>
      </c>
      <c r="B31" s="54" t="s">
        <v>28</v>
      </c>
      <c r="C31" s="54" t="s">
        <v>1223</v>
      </c>
      <c r="D31" s="54" t="s">
        <v>1224</v>
      </c>
      <c r="E31" s="54" t="s">
        <v>143</v>
      </c>
      <c r="F31" s="54" t="s">
        <v>86</v>
      </c>
      <c r="G31" s="55"/>
      <c r="H31" s="55"/>
      <c r="I31" s="54"/>
      <c r="J31" s="54"/>
      <c r="K31" s="54"/>
      <c r="L31" s="54" t="s">
        <v>12</v>
      </c>
    </row>
    <row r="32" spans="1:19">
      <c r="A32" s="54">
        <v>31</v>
      </c>
      <c r="B32" s="54" t="s">
        <v>29</v>
      </c>
      <c r="C32" s="54" t="s">
        <v>151</v>
      </c>
      <c r="D32" s="54" t="s">
        <v>152</v>
      </c>
      <c r="E32" s="54" t="s">
        <v>143</v>
      </c>
      <c r="F32" s="54" t="s">
        <v>40</v>
      </c>
      <c r="G32" s="55"/>
      <c r="H32" s="54"/>
      <c r="I32" s="54"/>
      <c r="J32" s="54"/>
      <c r="K32" s="54"/>
      <c r="L32" s="54" t="s">
        <v>12</v>
      </c>
    </row>
    <row r="33" spans="1:12">
      <c r="A33" s="54">
        <v>32</v>
      </c>
      <c r="B33" s="54" t="s">
        <v>30</v>
      </c>
      <c r="C33" s="54" t="s">
        <v>457</v>
      </c>
      <c r="D33" s="54" t="s">
        <v>458</v>
      </c>
      <c r="E33" s="54" t="s">
        <v>226</v>
      </c>
      <c r="F33" s="54" t="s">
        <v>55</v>
      </c>
      <c r="G33" s="55"/>
      <c r="H33" s="55"/>
      <c r="I33" s="55"/>
      <c r="J33" s="54"/>
      <c r="K33" s="54"/>
      <c r="L33" s="54" t="s">
        <v>12</v>
      </c>
    </row>
    <row r="34" spans="1:12">
      <c r="A34" s="54">
        <v>33</v>
      </c>
      <c r="B34" s="54" t="s">
        <v>30</v>
      </c>
      <c r="C34" s="54" t="s">
        <v>459</v>
      </c>
      <c r="D34" s="54" t="s">
        <v>460</v>
      </c>
      <c r="E34" s="54" t="s">
        <v>276</v>
      </c>
      <c r="F34" s="54" t="s">
        <v>55</v>
      </c>
      <c r="G34" s="55"/>
      <c r="H34" s="55"/>
      <c r="I34" s="54"/>
      <c r="J34" s="54"/>
      <c r="K34" s="54"/>
      <c r="L34" s="54" t="s">
        <v>12</v>
      </c>
    </row>
    <row r="35" spans="1:12">
      <c r="A35" s="54">
        <v>34</v>
      </c>
      <c r="B35" s="54" t="s">
        <v>30</v>
      </c>
      <c r="C35" s="54" t="s">
        <v>467</v>
      </c>
      <c r="D35" s="54" t="s">
        <v>468</v>
      </c>
      <c r="E35" s="54" t="s">
        <v>226</v>
      </c>
      <c r="F35" s="54" t="s">
        <v>55</v>
      </c>
      <c r="G35" s="55"/>
      <c r="H35" s="54"/>
      <c r="I35" s="54"/>
      <c r="J35" s="54"/>
      <c r="K35" s="54"/>
      <c r="L35" s="54" t="s">
        <v>12</v>
      </c>
    </row>
    <row r="36" spans="1:12">
      <c r="A36" s="54">
        <v>35</v>
      </c>
      <c r="B36" s="54" t="s">
        <v>30</v>
      </c>
      <c r="C36" s="54" t="s">
        <v>469</v>
      </c>
      <c r="D36" s="54" t="s">
        <v>470</v>
      </c>
      <c r="E36" s="54" t="s">
        <v>226</v>
      </c>
      <c r="F36" s="54" t="s">
        <v>55</v>
      </c>
      <c r="G36" s="55"/>
      <c r="H36" s="54"/>
      <c r="I36" s="54"/>
      <c r="J36" s="54"/>
      <c r="K36" s="54"/>
      <c r="L36" s="54" t="s">
        <v>12</v>
      </c>
    </row>
    <row r="37" spans="1:12">
      <c r="A37" s="54">
        <v>36</v>
      </c>
      <c r="B37" s="54" t="s">
        <v>30</v>
      </c>
      <c r="C37" s="54" t="s">
        <v>471</v>
      </c>
      <c r="D37" s="54" t="s">
        <v>472</v>
      </c>
      <c r="E37" s="54" t="s">
        <v>226</v>
      </c>
      <c r="F37" s="54" t="s">
        <v>55</v>
      </c>
      <c r="G37" s="55"/>
      <c r="H37" s="54"/>
      <c r="I37" s="54"/>
      <c r="J37" s="54"/>
      <c r="K37" s="54"/>
      <c r="L37" s="54" t="s">
        <v>12</v>
      </c>
    </row>
    <row r="38" spans="1:12">
      <c r="A38" s="54">
        <v>37</v>
      </c>
      <c r="B38" s="54" t="s">
        <v>30</v>
      </c>
      <c r="C38" s="54" t="s">
        <v>505</v>
      </c>
      <c r="D38" s="54" t="s">
        <v>506</v>
      </c>
      <c r="E38" s="54" t="s">
        <v>226</v>
      </c>
      <c r="F38" s="54" t="s">
        <v>55</v>
      </c>
      <c r="G38" s="55"/>
      <c r="H38" s="55"/>
      <c r="I38" s="55"/>
      <c r="J38" s="54"/>
      <c r="K38" s="54"/>
      <c r="L38" s="54" t="s">
        <v>12</v>
      </c>
    </row>
    <row r="39" spans="1:12">
      <c r="A39" s="54">
        <v>38</v>
      </c>
      <c r="B39" s="54" t="s">
        <v>30</v>
      </c>
      <c r="C39" s="54" t="s">
        <v>507</v>
      </c>
      <c r="D39" s="54" t="s">
        <v>508</v>
      </c>
      <c r="E39" s="54" t="s">
        <v>509</v>
      </c>
      <c r="F39" s="54" t="s">
        <v>56</v>
      </c>
      <c r="G39" s="55"/>
      <c r="H39" s="54"/>
      <c r="I39" s="54"/>
      <c r="J39" s="54"/>
      <c r="K39" s="54"/>
      <c r="L39" s="54" t="s">
        <v>12</v>
      </c>
    </row>
    <row r="40" spans="1:12">
      <c r="A40" s="54">
        <v>39</v>
      </c>
      <c r="B40" s="54" t="s">
        <v>31</v>
      </c>
      <c r="C40" s="54" t="s">
        <v>163</v>
      </c>
      <c r="D40" s="54" t="s">
        <v>164</v>
      </c>
      <c r="E40" s="54" t="s">
        <v>159</v>
      </c>
      <c r="F40" s="54" t="s">
        <v>41</v>
      </c>
      <c r="G40" s="55"/>
      <c r="H40" s="55"/>
      <c r="I40" s="55"/>
      <c r="J40" s="54"/>
      <c r="K40" s="54"/>
      <c r="L40" s="54" t="s">
        <v>12</v>
      </c>
    </row>
    <row r="41" spans="1:12">
      <c r="A41" s="54">
        <v>40</v>
      </c>
      <c r="B41" s="54" t="s">
        <v>31</v>
      </c>
      <c r="C41" s="54" t="s">
        <v>173</v>
      </c>
      <c r="D41" s="54" t="s">
        <v>174</v>
      </c>
      <c r="E41" s="54" t="s">
        <v>102</v>
      </c>
      <c r="F41" s="54" t="s">
        <v>41</v>
      </c>
      <c r="G41" s="55"/>
      <c r="H41" s="55"/>
      <c r="I41" s="55"/>
      <c r="J41" s="54"/>
      <c r="K41" s="54"/>
      <c r="L41" s="54" t="s">
        <v>12</v>
      </c>
    </row>
    <row r="42" spans="1:12">
      <c r="A42" s="54">
        <v>41</v>
      </c>
      <c r="B42" s="54" t="s">
        <v>31</v>
      </c>
      <c r="C42" s="54" t="s">
        <v>180</v>
      </c>
      <c r="D42" s="54" t="s">
        <v>181</v>
      </c>
      <c r="E42" s="54" t="s">
        <v>159</v>
      </c>
      <c r="F42" s="54" t="s">
        <v>41</v>
      </c>
      <c r="G42" s="55"/>
      <c r="H42" s="55"/>
      <c r="I42" s="54"/>
      <c r="J42" s="54"/>
      <c r="K42" s="54"/>
      <c r="L42" s="54" t="s">
        <v>12</v>
      </c>
    </row>
    <row r="43" spans="1:12">
      <c r="A43" s="54">
        <v>42</v>
      </c>
      <c r="B43" s="54" t="s">
        <v>31</v>
      </c>
      <c r="C43" s="54" t="s">
        <v>989</v>
      </c>
      <c r="D43" s="54" t="s">
        <v>990</v>
      </c>
      <c r="E43" s="54" t="s">
        <v>102</v>
      </c>
      <c r="F43" s="54" t="s">
        <v>78</v>
      </c>
      <c r="G43" s="55"/>
      <c r="H43" s="55"/>
      <c r="I43" s="54"/>
      <c r="J43" s="54"/>
      <c r="K43" s="54"/>
      <c r="L43" s="54" t="s">
        <v>12</v>
      </c>
    </row>
    <row r="44" spans="1:12">
      <c r="A44" s="54">
        <v>43</v>
      </c>
      <c r="B44" s="54" t="s">
        <v>32</v>
      </c>
      <c r="C44" s="54" t="s">
        <v>759</v>
      </c>
      <c r="D44" s="54" t="s">
        <v>760</v>
      </c>
      <c r="E44" s="54" t="s">
        <v>226</v>
      </c>
      <c r="F44" s="54" t="s">
        <v>66</v>
      </c>
      <c r="G44" s="55"/>
      <c r="H44" s="55"/>
      <c r="I44" s="55"/>
      <c r="J44" s="54"/>
      <c r="K44" s="54"/>
      <c r="L44" s="54" t="s">
        <v>12</v>
      </c>
    </row>
    <row r="45" spans="1:12">
      <c r="A45" s="54">
        <v>44</v>
      </c>
      <c r="B45" s="54" t="s">
        <v>32</v>
      </c>
      <c r="C45" s="54" t="s">
        <v>960</v>
      </c>
      <c r="D45" s="54" t="s">
        <v>961</v>
      </c>
      <c r="E45" s="54" t="s">
        <v>713</v>
      </c>
      <c r="F45" s="54" t="s">
        <v>962</v>
      </c>
      <c r="G45" s="55"/>
      <c r="H45" s="55"/>
      <c r="I45" s="55"/>
      <c r="J45" s="54"/>
      <c r="K45" s="54"/>
      <c r="L45" s="54" t="s">
        <v>12</v>
      </c>
    </row>
    <row r="46" spans="1:12">
      <c r="A46" s="54">
        <v>45</v>
      </c>
      <c r="B46" s="54" t="s">
        <v>32</v>
      </c>
      <c r="C46" s="54" t="s">
        <v>963</v>
      </c>
      <c r="D46" s="54" t="s">
        <v>964</v>
      </c>
      <c r="E46" s="54" t="s">
        <v>226</v>
      </c>
      <c r="F46" s="54" t="s">
        <v>962</v>
      </c>
      <c r="G46" s="55"/>
      <c r="H46" s="55"/>
      <c r="I46" s="55"/>
      <c r="J46" s="54"/>
      <c r="K46" s="54"/>
      <c r="L46" s="54" t="s">
        <v>12</v>
      </c>
    </row>
    <row r="47" spans="1:12">
      <c r="A47" s="54">
        <v>46</v>
      </c>
      <c r="B47" s="54" t="s">
        <v>32</v>
      </c>
      <c r="C47" s="54" t="s">
        <v>1230</v>
      </c>
      <c r="D47" s="54" t="s">
        <v>1231</v>
      </c>
      <c r="E47" s="54" t="s">
        <v>226</v>
      </c>
      <c r="F47" s="54" t="s">
        <v>87</v>
      </c>
      <c r="G47" s="55"/>
      <c r="H47" s="55"/>
      <c r="I47" s="55"/>
      <c r="J47" s="54"/>
      <c r="K47" s="54"/>
      <c r="L47" s="54" t="s">
        <v>12</v>
      </c>
    </row>
    <row r="48" spans="1:12">
      <c r="A48" s="54">
        <v>47</v>
      </c>
      <c r="B48" s="54" t="s">
        <v>32</v>
      </c>
      <c r="C48" s="54" t="s">
        <v>1234</v>
      </c>
      <c r="D48" s="54" t="s">
        <v>1235</v>
      </c>
      <c r="E48" s="54" t="s">
        <v>247</v>
      </c>
      <c r="F48" s="54" t="s">
        <v>87</v>
      </c>
      <c r="G48" s="55"/>
      <c r="H48" s="55"/>
      <c r="I48" s="55"/>
      <c r="J48" s="54"/>
      <c r="K48" s="54"/>
      <c r="L48" s="54" t="s">
        <v>12</v>
      </c>
    </row>
    <row r="49" spans="1:12">
      <c r="A49" s="54">
        <v>48</v>
      </c>
      <c r="B49" s="54" t="s">
        <v>32</v>
      </c>
      <c r="C49" s="54" t="s">
        <v>1236</v>
      </c>
      <c r="D49" s="54" t="s">
        <v>1237</v>
      </c>
      <c r="E49" s="54" t="s">
        <v>276</v>
      </c>
      <c r="F49" s="54" t="s">
        <v>87</v>
      </c>
      <c r="G49" s="55"/>
      <c r="H49" s="55"/>
      <c r="I49" s="54"/>
      <c r="J49" s="54"/>
      <c r="K49" s="54"/>
      <c r="L49" s="54" t="s">
        <v>12</v>
      </c>
    </row>
    <row r="50" spans="1:12">
      <c r="A50" s="54">
        <v>49</v>
      </c>
      <c r="B50" s="54" t="s">
        <v>32</v>
      </c>
      <c r="C50" s="54" t="s">
        <v>1240</v>
      </c>
      <c r="D50" s="54" t="s">
        <v>1241</v>
      </c>
      <c r="E50" s="54" t="s">
        <v>226</v>
      </c>
      <c r="F50" s="54" t="s">
        <v>87</v>
      </c>
      <c r="G50" s="55"/>
      <c r="H50" s="54"/>
      <c r="I50" s="54"/>
      <c r="J50" s="54"/>
      <c r="K50" s="54"/>
      <c r="L50" s="54" t="s">
        <v>12</v>
      </c>
    </row>
    <row r="51" spans="1:12">
      <c r="A51" s="54">
        <v>50</v>
      </c>
      <c r="B51" s="54" t="s">
        <v>32</v>
      </c>
      <c r="C51" s="54" t="s">
        <v>1244</v>
      </c>
      <c r="D51" s="54" t="s">
        <v>1245</v>
      </c>
      <c r="E51" s="54" t="s">
        <v>226</v>
      </c>
      <c r="F51" s="54" t="s">
        <v>87</v>
      </c>
      <c r="G51" s="55"/>
      <c r="H51" s="55"/>
      <c r="I51" s="55"/>
      <c r="J51" s="54"/>
      <c r="K51" s="54"/>
      <c r="L51" s="54" t="s">
        <v>12</v>
      </c>
    </row>
  </sheetData>
  <sortState xmlns:xlrd2="http://schemas.microsoft.com/office/spreadsheetml/2017/richdata2" ref="D2:D6">
    <sortCondition ref="D2:D6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B4ED-7A4B-4C7A-9D92-71C45BED51BF}">
  <dimension ref="A1:AA506"/>
  <sheetViews>
    <sheetView tabSelected="1" topLeftCell="F1" workbookViewId="0">
      <selection activeCell="N2" sqref="N2"/>
    </sheetView>
  </sheetViews>
  <sheetFormatPr defaultRowHeight="15"/>
  <cols>
    <col min="1" max="1" width="10.42578125" bestFit="1" customWidth="1"/>
    <col min="2" max="2" width="18.140625" customWidth="1"/>
    <col min="3" max="3" width="14.7109375" bestFit="1" customWidth="1"/>
    <col min="4" max="4" width="25.140625" bestFit="1" customWidth="1"/>
    <col min="5" max="5" width="8" customWidth="1"/>
    <col min="6" max="6" width="35.140625" customWidth="1"/>
    <col min="7" max="7" width="44" customWidth="1"/>
    <col min="8" max="8" width="20.42578125" customWidth="1"/>
    <col min="9" max="9" width="11" bestFit="1" customWidth="1"/>
    <col min="10" max="10" width="10.140625" bestFit="1" customWidth="1"/>
    <col min="11" max="11" width="10.85546875" bestFit="1" customWidth="1"/>
    <col min="14" max="14" width="24" customWidth="1"/>
    <col min="18" max="18" width="9" customWidth="1"/>
    <col min="19" max="19" width="22.5703125" customWidth="1"/>
    <col min="20" max="20" width="12.5703125" bestFit="1" customWidth="1"/>
    <col min="21" max="21" width="10.7109375" bestFit="1" customWidth="1"/>
    <col min="22" max="22" width="12.140625" customWidth="1"/>
    <col min="23" max="23" width="13.28515625" customWidth="1"/>
    <col min="24" max="24" width="14.28515625" customWidth="1"/>
  </cols>
  <sheetData>
    <row r="1" spans="1:27" ht="15.75">
      <c r="A1" s="109" t="s">
        <v>90</v>
      </c>
      <c r="B1" s="110" t="s">
        <v>15</v>
      </c>
      <c r="C1" s="111" t="s">
        <v>91</v>
      </c>
      <c r="D1" s="110" t="s">
        <v>92</v>
      </c>
      <c r="E1" s="110" t="s">
        <v>1301</v>
      </c>
      <c r="F1" s="110" t="s">
        <v>93</v>
      </c>
      <c r="G1" s="110" t="s">
        <v>35</v>
      </c>
      <c r="H1" s="110" t="s">
        <v>1302</v>
      </c>
      <c r="I1" s="112" t="s">
        <v>94</v>
      </c>
      <c r="J1" s="112" t="s">
        <v>95</v>
      </c>
      <c r="K1" s="112" t="s">
        <v>96</v>
      </c>
      <c r="L1" s="112" t="s">
        <v>97</v>
      </c>
      <c r="M1" s="112" t="s">
        <v>98</v>
      </c>
      <c r="N1" s="112" t="s">
        <v>99</v>
      </c>
    </row>
    <row r="2" spans="1:27">
      <c r="A2" s="108">
        <v>1</v>
      </c>
      <c r="B2" s="57" t="s">
        <v>32</v>
      </c>
      <c r="C2" s="85" t="s">
        <v>565</v>
      </c>
      <c r="D2" s="57" t="s">
        <v>566</v>
      </c>
      <c r="E2" s="56">
        <v>22</v>
      </c>
      <c r="F2" s="58" t="s">
        <v>159</v>
      </c>
      <c r="G2" s="58" t="s">
        <v>60</v>
      </c>
      <c r="H2" s="59" t="s">
        <v>1303</v>
      </c>
      <c r="I2" s="60" t="s">
        <v>567</v>
      </c>
      <c r="J2" s="60" t="s">
        <v>568</v>
      </c>
      <c r="K2" s="61" t="s">
        <v>135</v>
      </c>
      <c r="L2" s="61" t="s">
        <v>136</v>
      </c>
      <c r="M2" s="62" t="s">
        <v>150</v>
      </c>
      <c r="N2" s="63" t="s">
        <v>117</v>
      </c>
      <c r="O2" s="5"/>
      <c r="R2" s="5" t="s">
        <v>1291</v>
      </c>
      <c r="S2" s="95" t="s">
        <v>1304</v>
      </c>
      <c r="T2" s="5" t="s">
        <v>1293</v>
      </c>
      <c r="U2" t="s">
        <v>1294</v>
      </c>
      <c r="V2" t="s">
        <v>1305</v>
      </c>
      <c r="W2" t="s">
        <v>1306</v>
      </c>
      <c r="X2" t="s">
        <v>1307</v>
      </c>
      <c r="Y2" t="s">
        <v>1308</v>
      </c>
      <c r="Z2" t="s">
        <v>1309</v>
      </c>
      <c r="AA2" t="s">
        <v>2</v>
      </c>
    </row>
    <row r="3" spans="1:27">
      <c r="A3" s="115">
        <v>2</v>
      </c>
      <c r="B3" s="57" t="s">
        <v>32</v>
      </c>
      <c r="C3" s="64" t="s">
        <v>1310</v>
      </c>
      <c r="D3" s="58" t="s">
        <v>1311</v>
      </c>
      <c r="E3" s="58">
        <v>17</v>
      </c>
      <c r="F3" s="58" t="s">
        <v>1312</v>
      </c>
      <c r="G3" s="58" t="s">
        <v>60</v>
      </c>
      <c r="H3" s="59" t="s">
        <v>1303</v>
      </c>
      <c r="I3" s="60"/>
      <c r="J3" s="60"/>
      <c r="K3" s="65" t="s">
        <v>1313</v>
      </c>
      <c r="L3" s="65" t="s">
        <v>1313</v>
      </c>
      <c r="M3" s="66"/>
      <c r="N3" s="63" t="s">
        <v>16</v>
      </c>
      <c r="O3" s="5"/>
      <c r="R3" s="97">
        <v>1</v>
      </c>
      <c r="S3" s="63" t="s">
        <v>16</v>
      </c>
      <c r="T3" s="5">
        <f>COUNTIF($N$2:$N$503,S3)</f>
        <v>55</v>
      </c>
      <c r="U3">
        <f>COUNTIF($N$2:$N$503,S3)*2</f>
        <v>110</v>
      </c>
      <c r="V3">
        <v>82</v>
      </c>
      <c r="W3">
        <v>11</v>
      </c>
      <c r="X3">
        <v>0</v>
      </c>
      <c r="Y3">
        <v>100</v>
      </c>
      <c r="Z3">
        <f>U3-V3-W3</f>
        <v>17</v>
      </c>
      <c r="AA3" t="s">
        <v>1314</v>
      </c>
    </row>
    <row r="4" spans="1:27">
      <c r="A4" s="115">
        <v>3</v>
      </c>
      <c r="B4" s="57" t="s">
        <v>32</v>
      </c>
      <c r="C4" s="57" t="s">
        <v>569</v>
      </c>
      <c r="D4" s="57" t="s">
        <v>570</v>
      </c>
      <c r="E4" s="58">
        <v>17</v>
      </c>
      <c r="F4" s="58" t="s">
        <v>571</v>
      </c>
      <c r="G4" s="58" t="s">
        <v>60</v>
      </c>
      <c r="H4" s="59" t="s">
        <v>1303</v>
      </c>
      <c r="I4" s="60" t="s">
        <v>572</v>
      </c>
      <c r="J4" s="60" t="s">
        <v>573</v>
      </c>
      <c r="K4" t="s">
        <v>116</v>
      </c>
      <c r="L4" t="s">
        <v>109</v>
      </c>
      <c r="M4" t="s">
        <v>110</v>
      </c>
      <c r="N4" s="63" t="s">
        <v>162</v>
      </c>
      <c r="O4" s="5"/>
      <c r="Q4" s="5"/>
      <c r="R4" s="97">
        <v>2</v>
      </c>
      <c r="S4" s="63" t="s">
        <v>122</v>
      </c>
      <c r="T4" s="5">
        <f>COUNTIF($N$2:$N$503,S4)</f>
        <v>35</v>
      </c>
      <c r="U4">
        <f>COUNTIF($N$2:$N$503,S4)*1</f>
        <v>35</v>
      </c>
      <c r="V4" t="s">
        <v>1315</v>
      </c>
      <c r="W4" t="s">
        <v>1315</v>
      </c>
      <c r="X4" t="s">
        <v>1315</v>
      </c>
      <c r="Y4" t="s">
        <v>1315</v>
      </c>
    </row>
    <row r="5" spans="1:27">
      <c r="A5" s="108">
        <v>4</v>
      </c>
      <c r="B5" s="57" t="s">
        <v>32</v>
      </c>
      <c r="C5" s="64" t="s">
        <v>1316</v>
      </c>
      <c r="D5" s="58" t="s">
        <v>1317</v>
      </c>
      <c r="E5" s="58">
        <v>13</v>
      </c>
      <c r="F5" s="58" t="s">
        <v>1318</v>
      </c>
      <c r="G5" s="58" t="s">
        <v>60</v>
      </c>
      <c r="H5" s="59" t="s">
        <v>1303</v>
      </c>
      <c r="I5" s="60"/>
      <c r="J5" s="60"/>
      <c r="K5" s="65" t="s">
        <v>1313</v>
      </c>
      <c r="L5" s="65" t="s">
        <v>1313</v>
      </c>
      <c r="M5" s="66"/>
      <c r="N5" s="63" t="s">
        <v>16</v>
      </c>
      <c r="O5" s="5"/>
      <c r="Q5" s="5"/>
      <c r="R5" s="97">
        <v>3</v>
      </c>
      <c r="S5" s="61" t="s">
        <v>12</v>
      </c>
      <c r="T5" s="5">
        <f>COUNTIF($N$2:$N$503,S5)</f>
        <v>25</v>
      </c>
      <c r="U5">
        <f>COUNTIF($N$2:$N$503,S5)*1</f>
        <v>25</v>
      </c>
      <c r="V5" t="s">
        <v>1315</v>
      </c>
      <c r="W5" t="s">
        <v>1315</v>
      </c>
      <c r="X5" t="s">
        <v>1315</v>
      </c>
      <c r="Y5" t="s">
        <v>1315</v>
      </c>
    </row>
    <row r="6" spans="1:27">
      <c r="A6" s="108">
        <v>5</v>
      </c>
      <c r="B6" s="57" t="s">
        <v>32</v>
      </c>
      <c r="C6" s="57" t="s">
        <v>574</v>
      </c>
      <c r="D6" s="57" t="s">
        <v>575</v>
      </c>
      <c r="E6" s="58">
        <v>12</v>
      </c>
      <c r="F6" s="58" t="s">
        <v>1319</v>
      </c>
      <c r="G6" s="58" t="s">
        <v>60</v>
      </c>
      <c r="H6" s="59" t="s">
        <v>1303</v>
      </c>
      <c r="I6" s="60" t="s">
        <v>577</v>
      </c>
      <c r="J6" s="60" t="s">
        <v>578</v>
      </c>
      <c r="K6" s="61" t="s">
        <v>198</v>
      </c>
      <c r="L6" s="61" t="s">
        <v>108</v>
      </c>
      <c r="M6" s="62" t="s">
        <v>135</v>
      </c>
      <c r="N6" s="63" t="s">
        <v>162</v>
      </c>
      <c r="O6" s="5"/>
      <c r="Q6" s="5"/>
      <c r="R6" s="97">
        <v>4</v>
      </c>
      <c r="S6" s="63" t="s">
        <v>111</v>
      </c>
      <c r="T6" s="5">
        <f>COUNTIF($N$2:$N$503,S6)</f>
        <v>126</v>
      </c>
      <c r="U6">
        <f>COUNTIF($N$2:$N$503,S6)*3</f>
        <v>378</v>
      </c>
      <c r="V6">
        <v>87</v>
      </c>
      <c r="W6">
        <v>7</v>
      </c>
      <c r="X6">
        <v>0</v>
      </c>
      <c r="Y6">
        <v>100</v>
      </c>
      <c r="Z6">
        <f>U6-V6-W6</f>
        <v>284</v>
      </c>
      <c r="AA6" t="s">
        <v>1320</v>
      </c>
    </row>
    <row r="7" spans="1:27">
      <c r="A7" s="115">
        <v>6</v>
      </c>
      <c r="B7" s="57" t="s">
        <v>32</v>
      </c>
      <c r="C7" s="57" t="s">
        <v>579</v>
      </c>
      <c r="D7" s="57" t="s">
        <v>580</v>
      </c>
      <c r="E7" s="58">
        <v>12</v>
      </c>
      <c r="F7" s="58" t="s">
        <v>581</v>
      </c>
      <c r="G7" s="58" t="s">
        <v>60</v>
      </c>
      <c r="H7" s="59" t="s">
        <v>1303</v>
      </c>
      <c r="I7" s="65"/>
      <c r="J7" s="65"/>
      <c r="K7" s="67" t="s">
        <v>1321</v>
      </c>
      <c r="L7" s="67"/>
      <c r="M7" s="66"/>
      <c r="N7" s="63" t="s">
        <v>122</v>
      </c>
      <c r="O7" s="5"/>
      <c r="Q7" s="5"/>
      <c r="R7" s="97">
        <v>5</v>
      </c>
      <c r="S7" s="63" t="s">
        <v>188</v>
      </c>
      <c r="T7" s="5">
        <f>COUNTIF($N$2:$N$503,S7)</f>
        <v>39</v>
      </c>
      <c r="U7">
        <f>COUNTIF($N$2:$N$503,S7)*2</f>
        <v>78</v>
      </c>
      <c r="V7" t="s">
        <v>1315</v>
      </c>
      <c r="W7" t="s">
        <v>1315</v>
      </c>
      <c r="X7" t="s">
        <v>1315</v>
      </c>
      <c r="Y7" t="s">
        <v>1315</v>
      </c>
    </row>
    <row r="8" spans="1:27">
      <c r="A8" s="115">
        <v>7</v>
      </c>
      <c r="B8" s="57" t="s">
        <v>32</v>
      </c>
      <c r="C8" s="64" t="s">
        <v>1322</v>
      </c>
      <c r="D8" s="58" t="s">
        <v>1323</v>
      </c>
      <c r="E8" s="58">
        <v>13</v>
      </c>
      <c r="F8" s="58" t="s">
        <v>731</v>
      </c>
      <c r="G8" s="58" t="s">
        <v>60</v>
      </c>
      <c r="H8" s="59" t="s">
        <v>1303</v>
      </c>
      <c r="I8" s="65"/>
      <c r="J8" s="65"/>
      <c r="K8" s="63" t="s">
        <v>186</v>
      </c>
      <c r="L8" t="s">
        <v>187</v>
      </c>
      <c r="M8" s="66"/>
      <c r="N8" s="63" t="s">
        <v>188</v>
      </c>
      <c r="O8" s="5"/>
      <c r="Q8" s="5"/>
      <c r="R8" s="97">
        <v>6</v>
      </c>
      <c r="S8" s="63" t="s">
        <v>162</v>
      </c>
      <c r="T8" s="5">
        <f>COUNTIF($N$2:$N$503,S8)</f>
        <v>98</v>
      </c>
      <c r="U8">
        <f>COUNTIF($N$2:$N$503,S8)*3</f>
        <v>294</v>
      </c>
      <c r="V8">
        <v>51</v>
      </c>
      <c r="W8">
        <v>9</v>
      </c>
      <c r="X8">
        <v>0</v>
      </c>
      <c r="Y8">
        <v>60</v>
      </c>
      <c r="Z8">
        <f>U8-V8-W8</f>
        <v>234</v>
      </c>
      <c r="AA8" t="s">
        <v>1324</v>
      </c>
    </row>
    <row r="9" spans="1:27">
      <c r="A9" s="108">
        <v>8</v>
      </c>
      <c r="B9" s="57" t="s">
        <v>32</v>
      </c>
      <c r="C9" s="57" t="s">
        <v>582</v>
      </c>
      <c r="D9" s="57" t="s">
        <v>583</v>
      </c>
      <c r="E9" s="58">
        <v>6</v>
      </c>
      <c r="F9" s="58" t="s">
        <v>584</v>
      </c>
      <c r="G9" s="58" t="s">
        <v>60</v>
      </c>
      <c r="H9" s="59" t="s">
        <v>1303</v>
      </c>
      <c r="I9" s="60" t="s">
        <v>572</v>
      </c>
      <c r="J9" s="60" t="s">
        <v>585</v>
      </c>
      <c r="K9" s="61" t="s">
        <v>116</v>
      </c>
      <c r="L9" s="61" t="s">
        <v>109</v>
      </c>
      <c r="M9" s="62" t="s">
        <v>110</v>
      </c>
      <c r="N9" s="63" t="s">
        <v>111</v>
      </c>
      <c r="O9" s="5"/>
      <c r="Q9" s="5"/>
      <c r="R9" s="97">
        <v>7</v>
      </c>
      <c r="S9" s="63" t="s">
        <v>117</v>
      </c>
      <c r="T9" s="5">
        <f>COUNTIF($N$2:$N$503,S9)</f>
        <v>124</v>
      </c>
      <c r="U9">
        <f>COUNTIF($N$2:$N$503,S9)*3</f>
        <v>372</v>
      </c>
      <c r="V9">
        <v>108</v>
      </c>
      <c r="W9">
        <v>13</v>
      </c>
      <c r="X9">
        <v>0</v>
      </c>
      <c r="Y9">
        <v>120</v>
      </c>
      <c r="Z9">
        <f>U9-V9-W9</f>
        <v>251</v>
      </c>
      <c r="AA9" t="s">
        <v>1325</v>
      </c>
    </row>
    <row r="10" spans="1:27">
      <c r="A10" s="108">
        <v>9</v>
      </c>
      <c r="B10" s="57" t="s">
        <v>32</v>
      </c>
      <c r="C10" s="64" t="s">
        <v>1326</v>
      </c>
      <c r="D10" s="58" t="s">
        <v>783</v>
      </c>
      <c r="E10" s="58">
        <v>17</v>
      </c>
      <c r="F10" s="58" t="s">
        <v>731</v>
      </c>
      <c r="G10" s="58" t="s">
        <v>60</v>
      </c>
      <c r="H10" s="59" t="s">
        <v>1303</v>
      </c>
      <c r="I10" s="60"/>
      <c r="J10" s="60"/>
      <c r="K10" s="63" t="s">
        <v>186</v>
      </c>
      <c r="L10" t="s">
        <v>187</v>
      </c>
      <c r="M10" s="66"/>
      <c r="N10" s="63" t="s">
        <v>188</v>
      </c>
      <c r="O10" s="5"/>
      <c r="Q10" s="5"/>
      <c r="R10" s="96"/>
      <c r="S10" s="5" t="s">
        <v>13</v>
      </c>
      <c r="T10">
        <f>SUM(T3:T9)</f>
        <v>502</v>
      </c>
      <c r="U10">
        <f>SUM(U3:U9)</f>
        <v>1292</v>
      </c>
      <c r="V10">
        <v>127</v>
      </c>
      <c r="W10">
        <v>24</v>
      </c>
      <c r="X10">
        <v>100</v>
      </c>
      <c r="Y10">
        <v>958</v>
      </c>
      <c r="Z10">
        <f>T10-V10-W10</f>
        <v>351</v>
      </c>
      <c r="AA10" t="s">
        <v>1327</v>
      </c>
    </row>
    <row r="11" spans="1:27">
      <c r="A11" s="115">
        <v>10</v>
      </c>
      <c r="B11" s="57" t="s">
        <v>32</v>
      </c>
      <c r="C11" s="64" t="s">
        <v>1328</v>
      </c>
      <c r="D11" s="58" t="s">
        <v>1329</v>
      </c>
      <c r="E11" s="58">
        <v>18</v>
      </c>
      <c r="F11" s="58" t="s">
        <v>1187</v>
      </c>
      <c r="G11" s="58" t="s">
        <v>60</v>
      </c>
      <c r="H11" s="59" t="s">
        <v>1303</v>
      </c>
      <c r="I11" s="60"/>
      <c r="J11" s="60"/>
      <c r="K11" s="65" t="s">
        <v>1313</v>
      </c>
      <c r="L11" s="65" t="s">
        <v>1313</v>
      </c>
      <c r="M11" s="66"/>
      <c r="N11" s="63" t="s">
        <v>16</v>
      </c>
      <c r="O11" s="5"/>
      <c r="Q11" s="5"/>
      <c r="R11" s="96"/>
      <c r="S11" s="63"/>
      <c r="U11" s="5"/>
      <c r="V11">
        <v>32</v>
      </c>
      <c r="W11">
        <v>100</v>
      </c>
      <c r="X11">
        <v>100</v>
      </c>
      <c r="Z11">
        <f>T10-V11-W11</f>
        <v>370</v>
      </c>
      <c r="AA11" t="s">
        <v>1330</v>
      </c>
    </row>
    <row r="12" spans="1:27">
      <c r="A12" s="108">
        <v>11</v>
      </c>
      <c r="B12" s="57" t="s">
        <v>32</v>
      </c>
      <c r="C12" s="64" t="s">
        <v>1331</v>
      </c>
      <c r="D12" s="58" t="s">
        <v>1332</v>
      </c>
      <c r="E12" s="58">
        <v>16</v>
      </c>
      <c r="F12" s="58" t="s">
        <v>1333</v>
      </c>
      <c r="G12" s="58" t="s">
        <v>60</v>
      </c>
      <c r="H12" s="59" t="s">
        <v>1303</v>
      </c>
      <c r="I12" s="60"/>
      <c r="J12" s="60"/>
      <c r="K12" s="65" t="s">
        <v>1313</v>
      </c>
      <c r="L12" s="65" t="s">
        <v>1313</v>
      </c>
      <c r="M12" s="66"/>
      <c r="N12" s="63" t="s">
        <v>16</v>
      </c>
      <c r="O12" s="5"/>
      <c r="R12" s="96"/>
      <c r="S12" s="96" t="s">
        <v>1334</v>
      </c>
      <c r="T12" s="5">
        <f>COUNTA(_xlfn.UNIQUE(G2:G503))</f>
        <v>51</v>
      </c>
      <c r="U12" s="5"/>
      <c r="V12" s="5"/>
      <c r="W12" s="5"/>
      <c r="X12" s="5"/>
      <c r="Y12" s="5"/>
      <c r="Z12" s="5"/>
      <c r="AA12" s="5"/>
    </row>
    <row r="13" spans="1:27">
      <c r="A13" s="115">
        <v>12</v>
      </c>
      <c r="B13" s="57" t="s">
        <v>32</v>
      </c>
      <c r="C13" s="64" t="s">
        <v>1335</v>
      </c>
      <c r="D13" s="58" t="s">
        <v>1336</v>
      </c>
      <c r="E13" s="58">
        <v>14</v>
      </c>
      <c r="F13" s="58" t="s">
        <v>1337</v>
      </c>
      <c r="G13" s="58" t="s">
        <v>60</v>
      </c>
      <c r="H13" s="59" t="s">
        <v>1303</v>
      </c>
      <c r="I13" s="60"/>
      <c r="J13" s="60"/>
      <c r="K13" s="63" t="s">
        <v>186</v>
      </c>
      <c r="L13" t="s">
        <v>187</v>
      </c>
      <c r="M13" s="66"/>
      <c r="N13" s="63" t="s">
        <v>188</v>
      </c>
      <c r="O13" s="5"/>
      <c r="X13" t="s">
        <v>1338</v>
      </c>
    </row>
    <row r="14" spans="1:27">
      <c r="A14" s="115">
        <v>13</v>
      </c>
      <c r="B14" s="57" t="s">
        <v>32</v>
      </c>
      <c r="C14" s="57" t="s">
        <v>586</v>
      </c>
      <c r="D14" s="57" t="s">
        <v>587</v>
      </c>
      <c r="E14" s="58">
        <v>22</v>
      </c>
      <c r="F14" s="58" t="s">
        <v>482</v>
      </c>
      <c r="G14" s="58" t="s">
        <v>60</v>
      </c>
      <c r="H14" s="59" t="s">
        <v>1303</v>
      </c>
      <c r="I14" s="60" t="s">
        <v>588</v>
      </c>
      <c r="J14" s="60" t="s">
        <v>589</v>
      </c>
      <c r="K14" s="61" t="s">
        <v>135</v>
      </c>
      <c r="L14" s="61" t="s">
        <v>136</v>
      </c>
      <c r="M14" s="62" t="s">
        <v>150</v>
      </c>
      <c r="N14" s="63" t="s">
        <v>162</v>
      </c>
      <c r="O14" s="5"/>
      <c r="R14" t="s">
        <v>1291</v>
      </c>
      <c r="S14" t="s">
        <v>1292</v>
      </c>
      <c r="T14" t="s">
        <v>1293</v>
      </c>
      <c r="U14" t="s">
        <v>1294</v>
      </c>
      <c r="W14" t="s">
        <v>1291</v>
      </c>
      <c r="X14" t="s">
        <v>1292</v>
      </c>
      <c r="Y14" t="s">
        <v>1293</v>
      </c>
      <c r="Z14" t="s">
        <v>1294</v>
      </c>
    </row>
    <row r="15" spans="1:27">
      <c r="A15" s="108">
        <v>14</v>
      </c>
      <c r="B15" s="57" t="s">
        <v>32</v>
      </c>
      <c r="C15" s="57" t="s">
        <v>590</v>
      </c>
      <c r="D15" s="57" t="s">
        <v>591</v>
      </c>
      <c r="E15" s="58">
        <v>20</v>
      </c>
      <c r="F15" s="58" t="s">
        <v>226</v>
      </c>
      <c r="G15" s="58" t="s">
        <v>60</v>
      </c>
      <c r="H15" s="59" t="s">
        <v>1303</v>
      </c>
      <c r="I15" s="60" t="s">
        <v>592</v>
      </c>
      <c r="J15" s="60" t="s">
        <v>593</v>
      </c>
      <c r="K15" s="61" t="s">
        <v>135</v>
      </c>
      <c r="L15" s="61" t="s">
        <v>136</v>
      </c>
      <c r="M15" s="62" t="s">
        <v>150</v>
      </c>
      <c r="N15" s="63" t="s">
        <v>111</v>
      </c>
      <c r="O15" s="5"/>
      <c r="R15" s="14">
        <v>1</v>
      </c>
      <c r="S15" s="57" t="s">
        <v>32</v>
      </c>
      <c r="T15">
        <f>COUNTIF($B$2:$B$503,S15)</f>
        <v>96</v>
      </c>
      <c r="U15" cm="1">
        <f t="array" ref="U15">SUMPRODUCT(($B$2:$B$503=S15)*($K$2:$M$503&lt;&gt;""))</f>
        <v>215</v>
      </c>
      <c r="W15" s="14">
        <v>1</v>
      </c>
      <c r="X15" s="57" t="s">
        <v>32</v>
      </c>
      <c r="Y15" cm="1">
        <f t="array" ref="Y15">SUMPRODUCT(($B$2:$B$503=X15)*($N$2:$N$503&lt;&gt;"LOW PROFILE SWITCH"))</f>
        <v>88</v>
      </c>
      <c r="Z15" cm="1">
        <f t="array" ref="Z15">SUMPRODUCT(($B$2:$B$503=X15)*($K$2:$M$503&lt;&gt;"")*($K$2:$M$503&lt;&gt;"LP-999"))</f>
        <v>207</v>
      </c>
    </row>
    <row r="16" spans="1:27">
      <c r="A16" s="108">
        <v>15</v>
      </c>
      <c r="B16" s="57" t="s">
        <v>32</v>
      </c>
      <c r="C16" s="57" t="s">
        <v>594</v>
      </c>
      <c r="D16" s="57" t="s">
        <v>595</v>
      </c>
      <c r="E16" s="58">
        <v>12</v>
      </c>
      <c r="F16" s="58" t="s">
        <v>596</v>
      </c>
      <c r="G16" s="58" t="s">
        <v>60</v>
      </c>
      <c r="H16" s="59" t="s">
        <v>1303</v>
      </c>
      <c r="I16" s="60" t="s">
        <v>597</v>
      </c>
      <c r="J16" s="60" t="s">
        <v>598</v>
      </c>
      <c r="K16" s="61" t="s">
        <v>108</v>
      </c>
      <c r="L16" s="61" t="s">
        <v>130</v>
      </c>
      <c r="M16" s="62" t="s">
        <v>110</v>
      </c>
      <c r="N16" s="63" t="s">
        <v>117</v>
      </c>
      <c r="O16" s="5"/>
      <c r="R16" s="14">
        <v>2</v>
      </c>
      <c r="S16" s="56" t="s">
        <v>25</v>
      </c>
      <c r="T16">
        <f>COUNTIF($B$2:$B$503,S16)</f>
        <v>122</v>
      </c>
      <c r="U16" cm="1">
        <f t="array" ref="U16">SUMPRODUCT(($B$2:$B$503=S16)*($K$2:$M$503&lt;&gt;""))</f>
        <v>308</v>
      </c>
      <c r="W16" s="14">
        <v>2</v>
      </c>
      <c r="X16" s="56" t="s">
        <v>25</v>
      </c>
      <c r="Y16" cm="1">
        <f t="array" ref="Y16">SUMPRODUCT(($B$2:$B$503=X16)*($N$2:$N$503&lt;&gt;"LOW PROFILE SWITCH"))</f>
        <v>117</v>
      </c>
      <c r="Z16" cm="1">
        <f t="array" ref="Z16">SUMPRODUCT(($B$2:$B$503=X16)*($K$2:$M$503&lt;&gt;"")*($K$2:$M$503&lt;&gt;"LP-999"))</f>
        <v>303</v>
      </c>
    </row>
    <row r="17" spans="1:26">
      <c r="A17" s="115">
        <v>16</v>
      </c>
      <c r="B17" s="57" t="s">
        <v>32</v>
      </c>
      <c r="C17" s="57" t="s">
        <v>599</v>
      </c>
      <c r="D17" s="57" t="s">
        <v>600</v>
      </c>
      <c r="E17" s="58">
        <v>15</v>
      </c>
      <c r="F17" s="58" t="s">
        <v>601</v>
      </c>
      <c r="G17" s="58" t="s">
        <v>60</v>
      </c>
      <c r="H17" s="59" t="s">
        <v>1303</v>
      </c>
      <c r="I17" s="65"/>
      <c r="J17" s="65"/>
      <c r="K17" s="65" t="s">
        <v>1313</v>
      </c>
      <c r="L17" s="65" t="s">
        <v>1313</v>
      </c>
      <c r="M17" s="66"/>
      <c r="N17" s="63" t="s">
        <v>16</v>
      </c>
      <c r="O17" s="5"/>
      <c r="R17" s="14">
        <v>3</v>
      </c>
      <c r="S17" s="56" t="s">
        <v>1295</v>
      </c>
      <c r="T17">
        <f>COUNTIF($B$2:$B$503,S17)</f>
        <v>27</v>
      </c>
      <c r="U17" cm="1">
        <f t="array" ref="U17">SUMPRODUCT(($B$2:$B$503=S17)*($K$2:$M$503&lt;&gt;""))</f>
        <v>60</v>
      </c>
      <c r="W17" s="14">
        <v>3</v>
      </c>
      <c r="X17" s="56" t="s">
        <v>1295</v>
      </c>
      <c r="Y17" cm="1">
        <f t="array" ref="Y17">SUMPRODUCT(($B$2:$B$503=X17)*($N$2:$N$503&lt;&gt;"LOW PROFILE SWITCH"))</f>
        <v>27</v>
      </c>
      <c r="Z17" cm="1">
        <f t="array" ref="Z17">SUMPRODUCT(($B$2:$B$503=X17)*($K$2:$M$503&lt;&gt;"")*($K$2:$M$503&lt;&gt;"LP-999"))</f>
        <v>60</v>
      </c>
    </row>
    <row r="18" spans="1:26">
      <c r="A18" s="115">
        <v>17</v>
      </c>
      <c r="B18" s="57" t="s">
        <v>32</v>
      </c>
      <c r="C18" s="57" t="s">
        <v>602</v>
      </c>
      <c r="D18" s="57" t="s">
        <v>603</v>
      </c>
      <c r="E18" s="58">
        <v>12</v>
      </c>
      <c r="F18" s="58" t="s">
        <v>604</v>
      </c>
      <c r="G18" s="58" t="s">
        <v>60</v>
      </c>
      <c r="H18" s="59" t="s">
        <v>1303</v>
      </c>
      <c r="I18" s="65"/>
      <c r="J18" s="65"/>
      <c r="K18" s="63" t="s">
        <v>186</v>
      </c>
      <c r="L18" t="s">
        <v>187</v>
      </c>
      <c r="M18" s="68"/>
      <c r="N18" s="63" t="s">
        <v>188</v>
      </c>
      <c r="O18" s="5"/>
      <c r="R18" s="14">
        <v>4</v>
      </c>
      <c r="S18" s="56" t="s">
        <v>20</v>
      </c>
      <c r="T18">
        <f>COUNTIF($B$2:$B$503,S18)</f>
        <v>54</v>
      </c>
      <c r="U18" cm="1">
        <f t="array" ref="U18">SUMPRODUCT(($B$2:$B$503=S18)*($K$2:$M$503&lt;&gt;""))</f>
        <v>156</v>
      </c>
      <c r="W18" s="14">
        <v>4</v>
      </c>
      <c r="X18" s="56" t="s">
        <v>20</v>
      </c>
      <c r="Y18" cm="1">
        <f t="array" ref="Y18">SUMPRODUCT(($B$2:$B$503=X18)*($N$2:$N$503&lt;&gt;"LOW PROFILE SWITCH"))</f>
        <v>54</v>
      </c>
      <c r="Z18" cm="1">
        <f t="array" ref="Z18">SUMPRODUCT(($B$2:$B$503=X18)*($K$2:$M$503&lt;&gt;"")*($K$2:$M$503&lt;&gt;"LP-999"))</f>
        <v>156</v>
      </c>
    </row>
    <row r="19" spans="1:26">
      <c r="A19" s="108">
        <v>18</v>
      </c>
      <c r="B19" s="57" t="s">
        <v>32</v>
      </c>
      <c r="C19" s="57" t="s">
        <v>605</v>
      </c>
      <c r="D19" s="57" t="s">
        <v>606</v>
      </c>
      <c r="E19" s="58">
        <v>14</v>
      </c>
      <c r="F19" s="58" t="s">
        <v>607</v>
      </c>
      <c r="G19" s="58" t="s">
        <v>60</v>
      </c>
      <c r="H19" s="59" t="s">
        <v>1303</v>
      </c>
      <c r="I19" s="65"/>
      <c r="J19" s="65"/>
      <c r="K19" s="63" t="s">
        <v>186</v>
      </c>
      <c r="L19" t="s">
        <v>187</v>
      </c>
      <c r="M19" s="68"/>
      <c r="N19" s="63" t="s">
        <v>188</v>
      </c>
      <c r="O19" s="5"/>
      <c r="R19" s="14">
        <v>5</v>
      </c>
      <c r="S19" s="56" t="s">
        <v>1296</v>
      </c>
      <c r="T19">
        <f>COUNTIF($B$2:$B$503,S19)</f>
        <v>9</v>
      </c>
      <c r="U19" cm="1">
        <f t="array" ref="U19">SUMPRODUCT(($B$2:$B$503=S19)*($K$2:$M$503&lt;&gt;""))</f>
        <v>20</v>
      </c>
      <c r="W19" s="14">
        <v>5</v>
      </c>
      <c r="X19" s="56" t="s">
        <v>1296</v>
      </c>
      <c r="Y19" cm="1">
        <f t="array" ref="Y19">SUMPRODUCT(($B$2:$B$503=X19)*($N$2:$N$503&lt;&gt;"LOW PROFILE SWITCH"))</f>
        <v>6</v>
      </c>
      <c r="Z19" cm="1">
        <f t="array" ref="Z19">SUMPRODUCT(($B$2:$B$503=X19)*($K$2:$M$503&lt;&gt;"")*($K$2:$M$503&lt;&gt;"LP-999"))</f>
        <v>17</v>
      </c>
    </row>
    <row r="20" spans="1:26">
      <c r="A20" s="108">
        <v>19</v>
      </c>
      <c r="B20" s="57" t="s">
        <v>32</v>
      </c>
      <c r="C20" s="64" t="s">
        <v>1339</v>
      </c>
      <c r="D20" s="58" t="s">
        <v>1340</v>
      </c>
      <c r="E20" s="58">
        <v>17</v>
      </c>
      <c r="F20" s="58" t="s">
        <v>1341</v>
      </c>
      <c r="G20" s="58" t="s">
        <v>60</v>
      </c>
      <c r="H20" s="59" t="s">
        <v>1303</v>
      </c>
      <c r="I20" s="65"/>
      <c r="J20" s="65"/>
      <c r="K20" s="65" t="s">
        <v>1313</v>
      </c>
      <c r="L20" s="65" t="s">
        <v>1313</v>
      </c>
      <c r="M20" s="68"/>
      <c r="N20" s="63" t="s">
        <v>16</v>
      </c>
      <c r="O20" s="5"/>
      <c r="R20" s="14">
        <v>6</v>
      </c>
      <c r="S20" s="56" t="s">
        <v>22</v>
      </c>
      <c r="T20">
        <f>COUNTIF($B$2:$B$503,S20)</f>
        <v>16</v>
      </c>
      <c r="U20" cm="1">
        <f t="array" ref="U20">SUMPRODUCT(($B$2:$B$503=S20)*($K$2:$M$503&lt;&gt;""))</f>
        <v>46</v>
      </c>
      <c r="W20" s="14">
        <v>6</v>
      </c>
      <c r="X20" s="56" t="s">
        <v>22</v>
      </c>
      <c r="Y20" cm="1">
        <f t="array" ref="Y20">SUMPRODUCT(($B$2:$B$503=X20)*($N$2:$N$503&lt;&gt;"LOW PROFILE SWITCH"))</f>
        <v>15</v>
      </c>
      <c r="Z20" cm="1">
        <f t="array" ref="Z20">SUMPRODUCT(($B$2:$B$503=X20)*($K$2:$M$503&lt;&gt;"")*($K$2:$M$503&lt;&gt;"LP-999"))</f>
        <v>45</v>
      </c>
    </row>
    <row r="21" spans="1:26">
      <c r="A21" s="115">
        <v>20</v>
      </c>
      <c r="B21" s="57" t="s">
        <v>32</v>
      </c>
      <c r="C21" s="57" t="s">
        <v>608</v>
      </c>
      <c r="D21" s="57" t="s">
        <v>609</v>
      </c>
      <c r="E21" s="58">
        <v>10</v>
      </c>
      <c r="F21" s="58" t="s">
        <v>610</v>
      </c>
      <c r="G21" s="58" t="s">
        <v>60</v>
      </c>
      <c r="H21" s="59" t="s">
        <v>1303</v>
      </c>
      <c r="I21" s="60" t="s">
        <v>572</v>
      </c>
      <c r="J21" s="60" t="s">
        <v>585</v>
      </c>
      <c r="K21" s="61" t="s">
        <v>116</v>
      </c>
      <c r="L21" s="61" t="s">
        <v>109</v>
      </c>
      <c r="M21" s="62" t="s">
        <v>110</v>
      </c>
      <c r="N21" s="63" t="s">
        <v>111</v>
      </c>
      <c r="O21" s="5"/>
      <c r="R21" s="14">
        <v>7</v>
      </c>
      <c r="S21" s="56" t="s">
        <v>21</v>
      </c>
      <c r="T21">
        <f>COUNTIF($B$2:$B$503,S21)</f>
        <v>40</v>
      </c>
      <c r="U21" cm="1">
        <f t="array" ref="U21">SUMPRODUCT(($B$2:$B$503=S21)*($K$2:$M$503&lt;&gt;""))</f>
        <v>97</v>
      </c>
      <c r="W21" s="14">
        <v>7</v>
      </c>
      <c r="X21" s="56" t="s">
        <v>21</v>
      </c>
      <c r="Y21" cm="1">
        <f t="array" ref="Y21">SUMPRODUCT(($B$2:$B$503=X21)*($N$2:$N$503&lt;&gt;"LOW PROFILE SWITCH"))</f>
        <v>32</v>
      </c>
      <c r="Z21" cm="1">
        <f t="array" ref="Z21">SUMPRODUCT(($B$2:$B$503=X21)*($K$2:$M$503&lt;&gt;"")*($K$2:$M$503&lt;&gt;"LP-999"))</f>
        <v>89</v>
      </c>
    </row>
    <row r="22" spans="1:26">
      <c r="A22" s="108">
        <v>21</v>
      </c>
      <c r="B22" s="57" t="s">
        <v>32</v>
      </c>
      <c r="C22" s="57" t="s">
        <v>611</v>
      </c>
      <c r="D22" s="57" t="s">
        <v>612</v>
      </c>
      <c r="E22" s="58">
        <v>15</v>
      </c>
      <c r="F22" s="58" t="s">
        <v>613</v>
      </c>
      <c r="G22" s="58" t="s">
        <v>60</v>
      </c>
      <c r="H22" s="59" t="s">
        <v>1303</v>
      </c>
      <c r="I22" s="60" t="s">
        <v>223</v>
      </c>
      <c r="J22" s="60" t="s">
        <v>614</v>
      </c>
      <c r="K22" s="61" t="s">
        <v>110</v>
      </c>
      <c r="L22" s="61" t="s">
        <v>250</v>
      </c>
      <c r="M22" s="62" t="s">
        <v>443</v>
      </c>
      <c r="N22" s="63" t="s">
        <v>162</v>
      </c>
      <c r="O22" s="5"/>
      <c r="R22" s="14">
        <v>8</v>
      </c>
      <c r="S22" s="56" t="s">
        <v>1297</v>
      </c>
      <c r="T22">
        <f>COUNTIF($B$2:$B$503,S22)</f>
        <v>21</v>
      </c>
      <c r="U22" cm="1">
        <f t="array" ref="U22">SUMPRODUCT(($B$2:$B$503=S22)*($K$2:$M$503&lt;&gt;""))</f>
        <v>55</v>
      </c>
      <c r="W22" s="14">
        <v>8</v>
      </c>
      <c r="X22" s="56" t="s">
        <v>1297</v>
      </c>
      <c r="Y22" cm="1">
        <f t="array" ref="Y22">SUMPRODUCT(($B$2:$B$503=X22)*($N$2:$N$503&lt;&gt;"LOW PROFILE SWITCH"))</f>
        <v>21</v>
      </c>
      <c r="Z22" cm="1">
        <f t="array" ref="Z22">SUMPRODUCT(($B$2:$B$503=X22)*($K$2:$M$503&lt;&gt;"")*($K$2:$M$503&lt;&gt;"LP-999"))</f>
        <v>55</v>
      </c>
    </row>
    <row r="23" spans="1:26">
      <c r="A23" s="115">
        <v>22</v>
      </c>
      <c r="B23" s="57" t="s">
        <v>32</v>
      </c>
      <c r="C23" s="64" t="s">
        <v>1342</v>
      </c>
      <c r="D23" s="58" t="s">
        <v>1343</v>
      </c>
      <c r="E23" s="58">
        <v>13</v>
      </c>
      <c r="F23" s="58" t="s">
        <v>1312</v>
      </c>
      <c r="G23" s="58" t="s">
        <v>60</v>
      </c>
      <c r="H23" s="59" t="s">
        <v>1303</v>
      </c>
      <c r="I23" s="60"/>
      <c r="J23" s="60"/>
      <c r="K23" s="67" t="s">
        <v>1321</v>
      </c>
      <c r="L23" s="69"/>
      <c r="M23" s="66"/>
      <c r="N23" s="63" t="s">
        <v>122</v>
      </c>
      <c r="O23" s="5"/>
      <c r="R23" s="14">
        <v>9</v>
      </c>
      <c r="S23" s="56" t="s">
        <v>29</v>
      </c>
      <c r="T23">
        <f>COUNTIF($B$2:$B$503,S23)</f>
        <v>24</v>
      </c>
      <c r="U23" cm="1">
        <f t="array" ref="U23">SUMPRODUCT(($B$2:$B$503=S23)*($K$2:$M$503&lt;&gt;""))</f>
        <v>65</v>
      </c>
      <c r="W23" s="14">
        <v>9</v>
      </c>
      <c r="X23" s="56" t="s">
        <v>29</v>
      </c>
      <c r="Y23" cm="1">
        <f t="array" ref="Y23">SUMPRODUCT(($B$2:$B$503=X23)*($N$2:$N$503&lt;&gt;"LOW PROFILE SWITCH"))</f>
        <v>24</v>
      </c>
      <c r="Z23" cm="1">
        <f t="array" ref="Z23">SUMPRODUCT(($B$2:$B$503=X23)*($K$2:$M$503&lt;&gt;"")*($K$2:$M$503&lt;&gt;"LP-999"))</f>
        <v>65</v>
      </c>
    </row>
    <row r="24" spans="1:26">
      <c r="A24" s="115">
        <v>23</v>
      </c>
      <c r="B24" s="57" t="s">
        <v>32</v>
      </c>
      <c r="C24" s="57" t="s">
        <v>615</v>
      </c>
      <c r="D24" s="57" t="s">
        <v>616</v>
      </c>
      <c r="E24" s="58">
        <v>32</v>
      </c>
      <c r="F24" s="58" t="s">
        <v>226</v>
      </c>
      <c r="G24" s="58" t="s">
        <v>60</v>
      </c>
      <c r="H24" s="59" t="s">
        <v>1303</v>
      </c>
      <c r="I24" s="60" t="s">
        <v>617</v>
      </c>
      <c r="J24" s="60" t="s">
        <v>618</v>
      </c>
      <c r="K24" s="61" t="s">
        <v>135</v>
      </c>
      <c r="L24" s="61" t="s">
        <v>136</v>
      </c>
      <c r="M24" s="62" t="s">
        <v>150</v>
      </c>
      <c r="N24" s="63" t="s">
        <v>111</v>
      </c>
      <c r="O24" s="5"/>
      <c r="R24" s="14">
        <v>10</v>
      </c>
      <c r="S24" s="56" t="s">
        <v>1298</v>
      </c>
      <c r="T24">
        <f>COUNTIF($B$2:$B$503,S24)</f>
        <v>52</v>
      </c>
      <c r="U24" cm="1">
        <f t="array" ref="U24">SUMPRODUCT(($B$2:$B$503=S24)*($K$2:$M$503&lt;&gt;""))</f>
        <v>147</v>
      </c>
      <c r="W24" s="14">
        <v>10</v>
      </c>
      <c r="X24" s="56" t="s">
        <v>1298</v>
      </c>
      <c r="Y24" cm="1">
        <f t="array" ref="Y24">SUMPRODUCT(($B$2:$B$503=X24)*($N$2:$N$503&lt;&gt;"LOW PROFILE SWITCH"))</f>
        <v>52</v>
      </c>
      <c r="Z24" cm="1">
        <f t="array" ref="Z24">SUMPRODUCT(($B$2:$B$503=X24)*($K$2:$M$503&lt;&gt;"")*($K$2:$M$503&lt;&gt;"LP-999"))</f>
        <v>147</v>
      </c>
    </row>
    <row r="25" spans="1:26">
      <c r="A25" s="108">
        <v>24</v>
      </c>
      <c r="B25" s="57" t="s">
        <v>32</v>
      </c>
      <c r="C25" s="64" t="s">
        <v>1344</v>
      </c>
      <c r="D25" s="70" t="s">
        <v>1345</v>
      </c>
      <c r="E25" s="58">
        <v>12</v>
      </c>
      <c r="F25" s="58" t="s">
        <v>1346</v>
      </c>
      <c r="G25" s="59" t="s">
        <v>60</v>
      </c>
      <c r="H25" s="59" t="s">
        <v>1303</v>
      </c>
      <c r="I25" s="67"/>
      <c r="J25" s="67"/>
      <c r="K25" s="67" t="s">
        <v>1321</v>
      </c>
      <c r="L25" s="67"/>
      <c r="M25" s="68"/>
      <c r="N25" s="63" t="s">
        <v>122</v>
      </c>
      <c r="O25" s="5"/>
      <c r="R25" s="14">
        <v>11</v>
      </c>
      <c r="S25" s="56" t="s">
        <v>27</v>
      </c>
      <c r="T25">
        <f>COUNTIF($B$2:$B$503,S25)</f>
        <v>8</v>
      </c>
      <c r="U25" cm="1">
        <f t="array" ref="U25">SUMPRODUCT(($B$2:$B$503=S25)*($K$2:$M$503&lt;&gt;""))</f>
        <v>24</v>
      </c>
      <c r="W25" s="14">
        <v>11</v>
      </c>
      <c r="X25" s="56" t="s">
        <v>27</v>
      </c>
      <c r="Y25" cm="1">
        <f t="array" ref="Y25">SUMPRODUCT(($B$2:$B$503=X25)*($N$2:$N$503&lt;&gt;"LOW PROFILE SWITCH"))</f>
        <v>8</v>
      </c>
      <c r="Z25" cm="1">
        <f t="array" ref="Z25">SUMPRODUCT(($B$2:$B$503=X25)*($K$2:$M$503&lt;&gt;"")*($K$2:$M$503&lt;&gt;"LP-999"))</f>
        <v>24</v>
      </c>
    </row>
    <row r="26" spans="1:26">
      <c r="A26" s="108">
        <v>25</v>
      </c>
      <c r="B26" s="57" t="s">
        <v>32</v>
      </c>
      <c r="C26" s="64" t="s">
        <v>1347</v>
      </c>
      <c r="D26" s="58" t="s">
        <v>1348</v>
      </c>
      <c r="E26" s="58">
        <v>14</v>
      </c>
      <c r="F26" s="58" t="s">
        <v>607</v>
      </c>
      <c r="G26" s="59" t="s">
        <v>60</v>
      </c>
      <c r="H26" s="59" t="s">
        <v>1303</v>
      </c>
      <c r="I26" s="67"/>
      <c r="J26" s="67"/>
      <c r="K26" s="67" t="s">
        <v>1321</v>
      </c>
      <c r="L26" s="67"/>
      <c r="M26" s="68"/>
      <c r="N26" s="63" t="s">
        <v>122</v>
      </c>
      <c r="O26" s="5"/>
      <c r="R26" s="14">
        <v>12</v>
      </c>
      <c r="S26" s="56" t="s">
        <v>1299</v>
      </c>
      <c r="T26">
        <f>COUNTIF($B$2:$B$503,S26)</f>
        <v>10</v>
      </c>
      <c r="U26" cm="1">
        <f t="array" ref="U26">SUMPRODUCT(($B$2:$B$503=S26)*($K$2:$M$503&lt;&gt;""))</f>
        <v>30</v>
      </c>
      <c r="W26" s="14">
        <v>12</v>
      </c>
      <c r="X26" s="56" t="s">
        <v>1299</v>
      </c>
      <c r="Y26" cm="1">
        <f t="array" ref="Y26">SUMPRODUCT(($B$2:$B$503=X26)*($N$2:$N$503&lt;&gt;"LOW PROFILE SWITCH"))</f>
        <v>10</v>
      </c>
      <c r="Z26" cm="1">
        <f t="array" ref="Z26">SUMPRODUCT(($B$2:$B$503=X26)*($K$2:$M$503&lt;&gt;"")*($K$2:$M$503&lt;&gt;"LP-999"))</f>
        <v>30</v>
      </c>
    </row>
    <row r="27" spans="1:26">
      <c r="A27" s="115">
        <v>26</v>
      </c>
      <c r="B27" s="57" t="s">
        <v>32</v>
      </c>
      <c r="C27" s="57" t="s">
        <v>883</v>
      </c>
      <c r="D27" s="57" t="s">
        <v>884</v>
      </c>
      <c r="E27" s="58">
        <v>20</v>
      </c>
      <c r="F27" s="57" t="s">
        <v>885</v>
      </c>
      <c r="G27" s="58" t="s">
        <v>71</v>
      </c>
      <c r="H27" s="59" t="s">
        <v>1349</v>
      </c>
      <c r="I27" s="106" t="s">
        <v>1350</v>
      </c>
      <c r="J27" s="107" t="s">
        <v>1351</v>
      </c>
      <c r="K27" s="65" t="s">
        <v>1313</v>
      </c>
      <c r="L27" s="65" t="s">
        <v>1313</v>
      </c>
      <c r="M27" s="66"/>
      <c r="N27" s="63" t="s">
        <v>16</v>
      </c>
      <c r="O27" s="5"/>
      <c r="R27" s="14">
        <v>13</v>
      </c>
      <c r="S27" s="56" t="s">
        <v>1300</v>
      </c>
      <c r="T27">
        <f>COUNTIF($B$2:$B$503,S27)</f>
        <v>11</v>
      </c>
      <c r="U27" cm="1">
        <f t="array" ref="U27">SUMPRODUCT(($B$2:$B$503=S27)*($K$2:$M$503&lt;&gt;""))</f>
        <v>33</v>
      </c>
      <c r="W27" s="14">
        <v>13</v>
      </c>
      <c r="X27" s="56" t="s">
        <v>1300</v>
      </c>
      <c r="Y27" cm="1">
        <f t="array" ref="Y27">SUMPRODUCT(($B$2:$B$503=X27)*($N$2:$N$503&lt;&gt;"LOW PROFILE SWITCH"))</f>
        <v>11</v>
      </c>
      <c r="Z27" cm="1">
        <f t="array" ref="Z27">SUMPRODUCT(($B$2:$B$503=X27)*($K$2:$M$503&lt;&gt;"")*($K$2:$M$503&lt;&gt;"LP-999"))</f>
        <v>33</v>
      </c>
    </row>
    <row r="28" spans="1:26">
      <c r="A28" s="115">
        <v>27</v>
      </c>
      <c r="B28" s="57" t="s">
        <v>32</v>
      </c>
      <c r="C28" s="57" t="s">
        <v>886</v>
      </c>
      <c r="D28" s="57" t="s">
        <v>887</v>
      </c>
      <c r="E28" s="58">
        <v>25</v>
      </c>
      <c r="F28" s="57" t="s">
        <v>888</v>
      </c>
      <c r="G28" s="58" t="s">
        <v>71</v>
      </c>
      <c r="H28" s="59" t="s">
        <v>1349</v>
      </c>
      <c r="I28" s="60" t="s">
        <v>889</v>
      </c>
      <c r="J28" s="60" t="s">
        <v>303</v>
      </c>
      <c r="K28" s="61" t="s">
        <v>135</v>
      </c>
      <c r="L28" s="61" t="s">
        <v>136</v>
      </c>
      <c r="M28" s="62" t="s">
        <v>150</v>
      </c>
      <c r="N28" s="63" t="s">
        <v>162</v>
      </c>
      <c r="O28" s="5"/>
      <c r="R28" s="14">
        <v>14</v>
      </c>
      <c r="S28" s="56" t="s">
        <v>24</v>
      </c>
      <c r="T28">
        <f>COUNTIF($B$2:$B$503,S28)</f>
        <v>12</v>
      </c>
      <c r="U28" cm="1">
        <f t="array" ref="U28">SUMPRODUCT(($B$2:$B$503=S28)*($K$2:$M$503&lt;&gt;""))</f>
        <v>36</v>
      </c>
      <c r="W28" s="14">
        <v>14</v>
      </c>
      <c r="X28" s="56" t="s">
        <v>24</v>
      </c>
      <c r="Y28" cm="1">
        <f t="array" ref="Y28">SUMPRODUCT(($B$2:$B$503=X28)*($N$2:$N$503&lt;&gt;"LOW PROFILE SWITCH"))</f>
        <v>12</v>
      </c>
      <c r="Z28" cm="1">
        <f t="array" ref="Z28">SUMPRODUCT(($B$2:$B$503=X28)*($K$2:$M$503&lt;&gt;"")*($K$2:$M$503&lt;&gt;"LP-999"))</f>
        <v>36</v>
      </c>
    </row>
    <row r="29" spans="1:26">
      <c r="A29" s="108">
        <v>28</v>
      </c>
      <c r="B29" s="57" t="s">
        <v>32</v>
      </c>
      <c r="C29" s="57" t="s">
        <v>896</v>
      </c>
      <c r="D29" s="57" t="s">
        <v>897</v>
      </c>
      <c r="E29" s="58">
        <v>16</v>
      </c>
      <c r="F29" s="57" t="s">
        <v>276</v>
      </c>
      <c r="G29" s="58" t="s">
        <v>71</v>
      </c>
      <c r="H29" s="59" t="s">
        <v>1349</v>
      </c>
      <c r="I29" s="60" t="s">
        <v>898</v>
      </c>
      <c r="J29" s="60" t="s">
        <v>341</v>
      </c>
      <c r="K29" s="61" t="s">
        <v>108</v>
      </c>
      <c r="L29" s="61" t="s">
        <v>109</v>
      </c>
      <c r="M29" s="62" t="s">
        <v>110</v>
      </c>
      <c r="N29" s="63" t="s">
        <v>117</v>
      </c>
      <c r="O29" s="5"/>
      <c r="R29" s="14"/>
      <c r="S29" s="98"/>
      <c r="T29">
        <f>SUBTOTAL(109,T15:T28)</f>
        <v>502</v>
      </c>
      <c r="U29">
        <f>SUBTOTAL(109,U15:U28)</f>
        <v>1292</v>
      </c>
      <c r="W29" s="14"/>
      <c r="X29" s="98"/>
      <c r="Y29">
        <f>SUBTOTAL(109,Y15:Y28)</f>
        <v>477</v>
      </c>
      <c r="Z29">
        <f>SUBTOTAL(109,Z15:Z28)</f>
        <v>1267</v>
      </c>
    </row>
    <row r="30" spans="1:26">
      <c r="A30" s="108">
        <v>29</v>
      </c>
      <c r="B30" s="57" t="s">
        <v>32</v>
      </c>
      <c r="C30" s="57" t="s">
        <v>899</v>
      </c>
      <c r="D30" s="57" t="s">
        <v>900</v>
      </c>
      <c r="E30" s="58">
        <v>18</v>
      </c>
      <c r="F30" s="57" t="s">
        <v>226</v>
      </c>
      <c r="G30" s="58" t="s">
        <v>71</v>
      </c>
      <c r="H30" s="59" t="s">
        <v>1349</v>
      </c>
      <c r="I30" s="106" t="s">
        <v>1352</v>
      </c>
      <c r="J30" s="107" t="s">
        <v>651</v>
      </c>
      <c r="K30" s="63" t="s">
        <v>186</v>
      </c>
      <c r="L30" t="s">
        <v>187</v>
      </c>
      <c r="M30" s="68"/>
      <c r="N30" s="63" t="s">
        <v>188</v>
      </c>
      <c r="O30" s="5"/>
    </row>
    <row r="31" spans="1:26">
      <c r="A31" s="115">
        <v>30</v>
      </c>
      <c r="B31" s="57" t="s">
        <v>32</v>
      </c>
      <c r="C31" s="57" t="s">
        <v>901</v>
      </c>
      <c r="D31" s="57" t="s">
        <v>902</v>
      </c>
      <c r="E31" s="58">
        <v>25</v>
      </c>
      <c r="F31" s="57" t="s">
        <v>903</v>
      </c>
      <c r="G31" s="58" t="s">
        <v>71</v>
      </c>
      <c r="H31" s="59" t="s">
        <v>1349</v>
      </c>
      <c r="I31" s="60" t="s">
        <v>633</v>
      </c>
      <c r="J31" s="60" t="s">
        <v>904</v>
      </c>
      <c r="K31" s="61" t="s">
        <v>136</v>
      </c>
      <c r="L31" s="61" t="s">
        <v>200</v>
      </c>
      <c r="M31" s="62" t="s">
        <v>635</v>
      </c>
      <c r="N31" s="63" t="s">
        <v>117</v>
      </c>
      <c r="O31" s="5"/>
      <c r="R31" t="s">
        <v>1291</v>
      </c>
      <c r="S31" t="s">
        <v>1292</v>
      </c>
      <c r="T31" t="s">
        <v>1353</v>
      </c>
    </row>
    <row r="32" spans="1:26">
      <c r="A32" s="108">
        <v>31</v>
      </c>
      <c r="B32" s="57" t="s">
        <v>32</v>
      </c>
      <c r="C32" s="57" t="s">
        <v>905</v>
      </c>
      <c r="D32" s="57" t="s">
        <v>906</v>
      </c>
      <c r="E32" s="58">
        <v>15</v>
      </c>
      <c r="F32" s="57" t="s">
        <v>907</v>
      </c>
      <c r="G32" s="58" t="s">
        <v>71</v>
      </c>
      <c r="H32" s="59" t="s">
        <v>1349</v>
      </c>
      <c r="I32" s="60" t="s">
        <v>908</v>
      </c>
      <c r="J32" s="71" t="s">
        <v>651</v>
      </c>
      <c r="K32" s="61" t="s">
        <v>135</v>
      </c>
      <c r="L32" s="61" t="s">
        <v>136</v>
      </c>
      <c r="M32" s="62" t="s">
        <v>150</v>
      </c>
      <c r="N32" s="63" t="s">
        <v>117</v>
      </c>
      <c r="O32" s="5"/>
      <c r="R32" s="14">
        <v>1</v>
      </c>
      <c r="S32" s="57" t="s">
        <v>32</v>
      </c>
      <c r="T32" cm="1">
        <f t="array" ref="T32">SUMPRODUCT(($B$2:$B$503=S32)*($N$2:$N$503="LOW PROFILE SWITCH"))</f>
        <v>8</v>
      </c>
    </row>
    <row r="33" spans="1:20">
      <c r="A33" s="115">
        <v>32</v>
      </c>
      <c r="B33" s="57" t="s">
        <v>32</v>
      </c>
      <c r="C33" s="57" t="s">
        <v>1354</v>
      </c>
      <c r="D33" s="100" t="s">
        <v>1355</v>
      </c>
      <c r="E33" s="101">
        <v>25</v>
      </c>
      <c r="F33" s="100" t="s">
        <v>276</v>
      </c>
      <c r="G33" s="58" t="s">
        <v>71</v>
      </c>
      <c r="H33" s="59" t="s">
        <v>1349</v>
      </c>
      <c r="I33" s="102" t="s">
        <v>1356</v>
      </c>
      <c r="J33" s="103" t="s">
        <v>223</v>
      </c>
      <c r="K33" s="61" t="s">
        <v>108</v>
      </c>
      <c r="L33" s="61" t="s">
        <v>130</v>
      </c>
      <c r="M33" s="62" t="s">
        <v>110</v>
      </c>
      <c r="N33" s="63" t="s">
        <v>117</v>
      </c>
      <c r="O33" s="5"/>
      <c r="R33" s="14">
        <v>2</v>
      </c>
      <c r="S33" s="56" t="s">
        <v>25</v>
      </c>
      <c r="T33" cm="1">
        <f t="array" ref="T33">SUMPRODUCT(($B$2:$B$503=S33)*($N$2:$N$503="LOW PROFILE SWITCH"))</f>
        <v>5</v>
      </c>
    </row>
    <row r="34" spans="1:20">
      <c r="A34" s="115">
        <v>33</v>
      </c>
      <c r="B34" s="57" t="s">
        <v>32</v>
      </c>
      <c r="C34" s="57" t="s">
        <v>1357</v>
      </c>
      <c r="D34" s="100" t="s">
        <v>1358</v>
      </c>
      <c r="E34" s="101">
        <v>11</v>
      </c>
      <c r="F34" s="100" t="s">
        <v>276</v>
      </c>
      <c r="G34" s="58" t="s">
        <v>71</v>
      </c>
      <c r="H34" s="59" t="s">
        <v>1349</v>
      </c>
      <c r="I34" s="104" t="s">
        <v>892</v>
      </c>
      <c r="J34" s="105" t="s">
        <v>337</v>
      </c>
      <c r="K34" s="61" t="s">
        <v>116</v>
      </c>
      <c r="L34" s="61" t="s">
        <v>109</v>
      </c>
      <c r="M34" s="62" t="s">
        <v>110</v>
      </c>
      <c r="N34" s="63" t="s">
        <v>117</v>
      </c>
      <c r="O34" s="5"/>
      <c r="R34" s="14">
        <v>3</v>
      </c>
      <c r="S34" s="56" t="s">
        <v>1295</v>
      </c>
      <c r="T34" cm="1">
        <f t="array" ref="T34">SUMPRODUCT(($B$2:$B$503=S34)*($N$2:$N$503="LOW PROFILE SWITCH"))</f>
        <v>0</v>
      </c>
    </row>
    <row r="35" spans="1:20">
      <c r="A35" s="108">
        <v>34</v>
      </c>
      <c r="B35" s="57" t="s">
        <v>32</v>
      </c>
      <c r="C35" s="64" t="s">
        <v>1359</v>
      </c>
      <c r="D35" s="58" t="s">
        <v>1360</v>
      </c>
      <c r="E35" s="58">
        <v>8</v>
      </c>
      <c r="F35" s="58" t="s">
        <v>226</v>
      </c>
      <c r="G35" s="58" t="s">
        <v>50</v>
      </c>
      <c r="H35" s="59" t="s">
        <v>1361</v>
      </c>
      <c r="I35" s="65" t="s">
        <v>1362</v>
      </c>
      <c r="J35" s="72" t="s">
        <v>724</v>
      </c>
      <c r="K35" s="61" t="s">
        <v>135</v>
      </c>
      <c r="L35" s="61" t="s">
        <v>136</v>
      </c>
      <c r="M35" s="62" t="s">
        <v>150</v>
      </c>
      <c r="N35" s="63" t="s">
        <v>117</v>
      </c>
      <c r="O35" s="5"/>
      <c r="R35" s="14">
        <v>4</v>
      </c>
      <c r="S35" s="56" t="s">
        <v>20</v>
      </c>
      <c r="T35" cm="1">
        <f t="array" ref="T35">SUMPRODUCT(($B$2:$B$503=S35)*($N$2:$N$503="LOW PROFILE SWITCH"))</f>
        <v>0</v>
      </c>
    </row>
    <row r="36" spans="1:20" hidden="1">
      <c r="A36" s="108">
        <v>35</v>
      </c>
      <c r="B36" s="57" t="s">
        <v>32</v>
      </c>
      <c r="C36" s="64" t="s">
        <v>1363</v>
      </c>
      <c r="D36" s="58" t="s">
        <v>1364</v>
      </c>
      <c r="E36" s="58">
        <v>23</v>
      </c>
      <c r="F36" s="58" t="s">
        <v>276</v>
      </c>
      <c r="G36" s="58" t="s">
        <v>50</v>
      </c>
      <c r="H36" s="59" t="s">
        <v>1361</v>
      </c>
      <c r="I36" s="65"/>
      <c r="J36" s="73"/>
      <c r="K36" s="67" t="s">
        <v>1365</v>
      </c>
      <c r="L36" s="67"/>
      <c r="M36" s="68"/>
      <c r="N36" s="61" t="s">
        <v>12</v>
      </c>
      <c r="O36" s="5"/>
      <c r="R36" s="14">
        <v>5</v>
      </c>
      <c r="S36" s="56" t="s">
        <v>1296</v>
      </c>
      <c r="T36" cm="1">
        <f t="array" ref="T36">SUMPRODUCT(($B$2:$B$503=S36)*($N$2:$N$503="LOW PROFILE SWITCH"))</f>
        <v>3</v>
      </c>
    </row>
    <row r="37" spans="1:20">
      <c r="A37" s="115">
        <v>36</v>
      </c>
      <c r="B37" s="57" t="s">
        <v>32</v>
      </c>
      <c r="C37" s="64" t="s">
        <v>1366</v>
      </c>
      <c r="D37" s="58" t="s">
        <v>1367</v>
      </c>
      <c r="E37" s="58">
        <v>22</v>
      </c>
      <c r="F37" s="58" t="s">
        <v>247</v>
      </c>
      <c r="G37" s="58" t="s">
        <v>50</v>
      </c>
      <c r="H37" s="59" t="s">
        <v>1361</v>
      </c>
      <c r="I37" s="65"/>
      <c r="J37" s="73"/>
      <c r="K37" s="61" t="s">
        <v>186</v>
      </c>
      <c r="L37" t="s">
        <v>187</v>
      </c>
      <c r="M37" s="68"/>
      <c r="N37" s="63" t="s">
        <v>188</v>
      </c>
      <c r="O37" s="5"/>
      <c r="R37" s="14">
        <v>6</v>
      </c>
      <c r="S37" s="56" t="s">
        <v>22</v>
      </c>
      <c r="T37" cm="1">
        <f t="array" ref="T37">SUMPRODUCT(($B$2:$B$503=S37)*($N$2:$N$503="LOW PROFILE SWITCH"))</f>
        <v>1</v>
      </c>
    </row>
    <row r="38" spans="1:20">
      <c r="A38" s="115">
        <v>37</v>
      </c>
      <c r="B38" s="57" t="s">
        <v>32</v>
      </c>
      <c r="C38" s="64" t="s">
        <v>392</v>
      </c>
      <c r="D38" s="58" t="s">
        <v>393</v>
      </c>
      <c r="E38" s="58">
        <v>28</v>
      </c>
      <c r="F38" s="58" t="s">
        <v>276</v>
      </c>
      <c r="G38" s="58" t="s">
        <v>50</v>
      </c>
      <c r="H38" s="59" t="s">
        <v>1361</v>
      </c>
      <c r="I38" s="65"/>
      <c r="J38" s="73"/>
      <c r="K38" s="61" t="s">
        <v>186</v>
      </c>
      <c r="L38" t="s">
        <v>187</v>
      </c>
      <c r="M38" s="68"/>
      <c r="N38" s="63" t="s">
        <v>188</v>
      </c>
      <c r="O38" s="5"/>
      <c r="R38" s="14">
        <v>7</v>
      </c>
      <c r="S38" s="56" t="s">
        <v>21</v>
      </c>
      <c r="T38" cm="1">
        <f t="array" ref="T38">SUMPRODUCT(($B$2:$B$503=S38)*($N$2:$N$503="LOW PROFILE SWITCH"))</f>
        <v>8</v>
      </c>
    </row>
    <row r="39" spans="1:20">
      <c r="A39" s="108">
        <v>38</v>
      </c>
      <c r="B39" s="57" t="s">
        <v>32</v>
      </c>
      <c r="C39" s="64" t="s">
        <v>1368</v>
      </c>
      <c r="D39" s="58" t="s">
        <v>1369</v>
      </c>
      <c r="E39" s="58">
        <v>26</v>
      </c>
      <c r="F39" s="58" t="s">
        <v>697</v>
      </c>
      <c r="G39" s="58" t="s">
        <v>50</v>
      </c>
      <c r="H39" s="59" t="s">
        <v>1361</v>
      </c>
      <c r="I39" s="65" t="s">
        <v>1370</v>
      </c>
      <c r="J39" s="72" t="s">
        <v>1371</v>
      </c>
      <c r="K39" s="61" t="s">
        <v>135</v>
      </c>
      <c r="L39" s="61" t="s">
        <v>136</v>
      </c>
      <c r="M39" s="62" t="s">
        <v>150</v>
      </c>
      <c r="N39" s="63" t="s">
        <v>111</v>
      </c>
      <c r="O39" s="5"/>
      <c r="R39" s="14">
        <v>8</v>
      </c>
      <c r="S39" s="56" t="s">
        <v>1297</v>
      </c>
      <c r="T39" cm="1">
        <f t="array" ref="T39">SUMPRODUCT(($B$2:$B$503=S39)*($N$2:$N$503="LOW PROFILE SWITCH"))</f>
        <v>0</v>
      </c>
    </row>
    <row r="40" spans="1:20">
      <c r="A40" s="108">
        <v>39</v>
      </c>
      <c r="B40" s="57" t="s">
        <v>32</v>
      </c>
      <c r="C40" s="64" t="s">
        <v>394</v>
      </c>
      <c r="D40" s="58" t="s">
        <v>395</v>
      </c>
      <c r="E40" s="58">
        <v>21</v>
      </c>
      <c r="F40" s="58" t="s">
        <v>226</v>
      </c>
      <c r="G40" s="58" t="s">
        <v>50</v>
      </c>
      <c r="H40" s="59" t="s">
        <v>1361</v>
      </c>
      <c r="I40" s="61" t="s">
        <v>396</v>
      </c>
      <c r="J40" s="61" t="s">
        <v>397</v>
      </c>
      <c r="K40" s="61" t="s">
        <v>135</v>
      </c>
      <c r="L40" s="61" t="s">
        <v>136</v>
      </c>
      <c r="M40" s="62" t="s">
        <v>150</v>
      </c>
      <c r="N40" s="61" t="s">
        <v>162</v>
      </c>
      <c r="O40" s="5"/>
      <c r="R40" s="14">
        <v>9</v>
      </c>
      <c r="S40" s="56" t="s">
        <v>29</v>
      </c>
      <c r="T40" cm="1">
        <f t="array" ref="T40">SUMPRODUCT(($B$2:$B$503=S40)*($N$2:$N$503="LOW PROFILE SWITCH"))</f>
        <v>0</v>
      </c>
    </row>
    <row r="41" spans="1:20">
      <c r="A41" s="115">
        <v>40</v>
      </c>
      <c r="B41" s="57" t="s">
        <v>32</v>
      </c>
      <c r="C41" s="64" t="s">
        <v>398</v>
      </c>
      <c r="D41" s="58" t="s">
        <v>399</v>
      </c>
      <c r="E41" s="58">
        <v>22</v>
      </c>
      <c r="F41" s="58" t="s">
        <v>276</v>
      </c>
      <c r="G41" s="58" t="s">
        <v>50</v>
      </c>
      <c r="H41" s="59" t="s">
        <v>1361</v>
      </c>
      <c r="I41" s="67"/>
      <c r="J41" s="67"/>
      <c r="K41" s="61" t="s">
        <v>186</v>
      </c>
      <c r="L41" t="s">
        <v>187</v>
      </c>
      <c r="M41" s="62"/>
      <c r="N41" s="61" t="s">
        <v>188</v>
      </c>
      <c r="O41" s="5"/>
      <c r="R41" s="14">
        <v>10</v>
      </c>
      <c r="S41" s="56" t="s">
        <v>1298</v>
      </c>
      <c r="T41" cm="1">
        <f t="array" ref="T41">SUMPRODUCT(($B$2:$B$503=S41)*($N$2:$N$503="LOW PROFILE SWITCH"))</f>
        <v>0</v>
      </c>
    </row>
    <row r="42" spans="1:20" hidden="1">
      <c r="A42" s="108">
        <v>41</v>
      </c>
      <c r="B42" s="57" t="s">
        <v>32</v>
      </c>
      <c r="C42" s="64" t="s">
        <v>1372</v>
      </c>
      <c r="D42" s="58" t="s">
        <v>1373</v>
      </c>
      <c r="E42" s="58">
        <v>26</v>
      </c>
      <c r="F42" s="58" t="s">
        <v>713</v>
      </c>
      <c r="G42" s="58" t="s">
        <v>50</v>
      </c>
      <c r="H42" s="59" t="s">
        <v>1361</v>
      </c>
      <c r="I42" s="67"/>
      <c r="J42" s="67"/>
      <c r="K42" s="67" t="s">
        <v>1365</v>
      </c>
      <c r="L42" s="67"/>
      <c r="M42" s="68"/>
      <c r="N42" s="61" t="s">
        <v>12</v>
      </c>
      <c r="O42" s="5"/>
      <c r="R42" s="14">
        <v>11</v>
      </c>
      <c r="S42" s="56" t="s">
        <v>27</v>
      </c>
      <c r="T42" cm="1">
        <f t="array" ref="T42">SUMPRODUCT(($B$2:$B$503=S42)*($N$2:$N$503="LOW PROFILE SWITCH"))</f>
        <v>0</v>
      </c>
    </row>
    <row r="43" spans="1:20">
      <c r="A43" s="115">
        <v>42</v>
      </c>
      <c r="B43" s="57" t="s">
        <v>32</v>
      </c>
      <c r="C43" s="64" t="s">
        <v>400</v>
      </c>
      <c r="D43" s="58" t="s">
        <v>401</v>
      </c>
      <c r="E43" s="58">
        <v>13</v>
      </c>
      <c r="F43" s="58" t="s">
        <v>402</v>
      </c>
      <c r="G43" s="58" t="s">
        <v>50</v>
      </c>
      <c r="H43" s="59" t="s">
        <v>1361</v>
      </c>
      <c r="I43" s="67"/>
      <c r="J43" s="67"/>
      <c r="K43" s="61" t="s">
        <v>1313</v>
      </c>
      <c r="L43" s="61" t="s">
        <v>1313</v>
      </c>
      <c r="M43" s="62"/>
      <c r="N43" s="61" t="s">
        <v>16</v>
      </c>
      <c r="O43" s="5"/>
      <c r="R43" s="14">
        <v>12</v>
      </c>
      <c r="S43" s="56" t="s">
        <v>1299</v>
      </c>
      <c r="T43" cm="1">
        <f t="array" ref="T43">SUMPRODUCT(($B$2:$B$503=S43)*($N$2:$N$503="LOW PROFILE SWITCH"))</f>
        <v>0</v>
      </c>
    </row>
    <row r="44" spans="1:20">
      <c r="A44" s="115">
        <v>43</v>
      </c>
      <c r="B44" s="57" t="s">
        <v>32</v>
      </c>
      <c r="C44" s="64" t="s">
        <v>403</v>
      </c>
      <c r="D44" s="58" t="s">
        <v>404</v>
      </c>
      <c r="E44" s="58">
        <v>26</v>
      </c>
      <c r="F44" s="58" t="s">
        <v>226</v>
      </c>
      <c r="G44" s="58" t="s">
        <v>50</v>
      </c>
      <c r="H44" s="59" t="s">
        <v>1361</v>
      </c>
      <c r="I44" s="67"/>
      <c r="J44" s="67"/>
      <c r="K44" s="61" t="s">
        <v>186</v>
      </c>
      <c r="L44" t="s">
        <v>187</v>
      </c>
      <c r="M44" s="62"/>
      <c r="N44" s="61" t="s">
        <v>188</v>
      </c>
      <c r="O44" s="5"/>
      <c r="R44" s="14">
        <v>13</v>
      </c>
      <c r="S44" s="56" t="s">
        <v>1300</v>
      </c>
      <c r="T44" cm="1">
        <f t="array" ref="T44">SUMPRODUCT(($B$2:$B$503=S44)*($N$2:$N$503="LOW PROFILE SWITCH"))</f>
        <v>0</v>
      </c>
    </row>
    <row r="45" spans="1:20" hidden="1">
      <c r="A45" s="108">
        <v>44</v>
      </c>
      <c r="B45" s="57" t="s">
        <v>32</v>
      </c>
      <c r="C45" s="64" t="s">
        <v>1374</v>
      </c>
      <c r="D45" s="58" t="s">
        <v>1375</v>
      </c>
      <c r="E45" s="58">
        <v>11</v>
      </c>
      <c r="F45" s="58" t="s">
        <v>1376</v>
      </c>
      <c r="G45" s="58" t="s">
        <v>77</v>
      </c>
      <c r="H45" s="59" t="s">
        <v>1377</v>
      </c>
      <c r="I45" s="67"/>
      <c r="J45" s="67"/>
      <c r="K45" s="61" t="s">
        <v>1313</v>
      </c>
      <c r="L45" s="61" t="s">
        <v>1313</v>
      </c>
      <c r="M45" s="68"/>
      <c r="N45" s="61" t="s">
        <v>16</v>
      </c>
      <c r="O45" s="5"/>
      <c r="R45" s="14">
        <v>14</v>
      </c>
      <c r="S45" s="56" t="s">
        <v>24</v>
      </c>
      <c r="T45" cm="1">
        <f t="array" ref="T45">SUMPRODUCT(($B$2:$B$503=S45)*($N$2:$N$503="LOW PROFILE SWITCH"))</f>
        <v>0</v>
      </c>
    </row>
    <row r="46" spans="1:20" hidden="1">
      <c r="A46" s="108">
        <v>45</v>
      </c>
      <c r="B46" s="57" t="s">
        <v>32</v>
      </c>
      <c r="C46" s="64" t="s">
        <v>1378</v>
      </c>
      <c r="D46" s="58" t="s">
        <v>1379</v>
      </c>
      <c r="E46" s="58">
        <v>20</v>
      </c>
      <c r="F46" s="58" t="s">
        <v>1380</v>
      </c>
      <c r="G46" s="58" t="s">
        <v>77</v>
      </c>
      <c r="H46" s="59" t="s">
        <v>1377</v>
      </c>
      <c r="I46" s="67"/>
      <c r="J46" s="67"/>
      <c r="K46" s="61" t="s">
        <v>186</v>
      </c>
      <c r="L46" t="s">
        <v>187</v>
      </c>
      <c r="M46" s="68"/>
      <c r="N46" s="61" t="s">
        <v>188</v>
      </c>
      <c r="O46" s="5"/>
      <c r="R46" s="14"/>
      <c r="S46" s="98"/>
      <c r="T46">
        <f>SUBTOTAL(109,T32:T45)</f>
        <v>22</v>
      </c>
    </row>
    <row r="47" spans="1:20" hidden="1">
      <c r="A47" s="115">
        <v>46</v>
      </c>
      <c r="B47" s="57" t="s">
        <v>32</v>
      </c>
      <c r="C47" s="64" t="s">
        <v>965</v>
      </c>
      <c r="D47" s="58" t="s">
        <v>966</v>
      </c>
      <c r="E47" s="58">
        <v>16</v>
      </c>
      <c r="F47" s="58" t="s">
        <v>276</v>
      </c>
      <c r="G47" s="58" t="s">
        <v>77</v>
      </c>
      <c r="H47" s="59" t="s">
        <v>1381</v>
      </c>
      <c r="I47" s="61" t="s">
        <v>967</v>
      </c>
      <c r="J47" s="61" t="s">
        <v>284</v>
      </c>
      <c r="K47" s="61" t="s">
        <v>135</v>
      </c>
      <c r="L47" s="61" t="s">
        <v>136</v>
      </c>
      <c r="M47" s="62" t="s">
        <v>150</v>
      </c>
      <c r="N47" s="61" t="s">
        <v>111</v>
      </c>
      <c r="O47" s="5"/>
    </row>
    <row r="48" spans="1:20" hidden="1">
      <c r="A48" s="115">
        <v>47</v>
      </c>
      <c r="B48" s="57" t="s">
        <v>32</v>
      </c>
      <c r="C48" s="64" t="s">
        <v>968</v>
      </c>
      <c r="D48" s="58" t="s">
        <v>969</v>
      </c>
      <c r="E48" s="58">
        <v>16</v>
      </c>
      <c r="F48" s="58" t="s">
        <v>226</v>
      </c>
      <c r="G48" s="58" t="s">
        <v>77</v>
      </c>
      <c r="H48" s="59" t="s">
        <v>1381</v>
      </c>
      <c r="I48" s="61" t="s">
        <v>970</v>
      </c>
      <c r="J48" s="61" t="s">
        <v>643</v>
      </c>
      <c r="K48" s="61" t="s">
        <v>198</v>
      </c>
      <c r="L48" s="61" t="s">
        <v>135</v>
      </c>
      <c r="M48" s="62" t="s">
        <v>136</v>
      </c>
      <c r="N48" s="61" t="s">
        <v>111</v>
      </c>
      <c r="O48" s="5"/>
    </row>
    <row r="49" spans="1:15" hidden="1">
      <c r="A49" s="108">
        <v>48</v>
      </c>
      <c r="B49" s="57" t="s">
        <v>32</v>
      </c>
      <c r="C49" s="64" t="s">
        <v>974</v>
      </c>
      <c r="D49" s="58" t="s">
        <v>975</v>
      </c>
      <c r="E49" s="58">
        <v>19</v>
      </c>
      <c r="F49" s="58" t="s">
        <v>226</v>
      </c>
      <c r="G49" s="58" t="s">
        <v>77</v>
      </c>
      <c r="H49" s="59" t="s">
        <v>1381</v>
      </c>
      <c r="I49" s="61"/>
      <c r="J49" s="61"/>
      <c r="K49" s="67" t="s">
        <v>1321</v>
      </c>
      <c r="L49" s="61"/>
      <c r="M49" s="62"/>
      <c r="N49" s="61" t="s">
        <v>122</v>
      </c>
      <c r="O49" s="5"/>
    </row>
    <row r="50" spans="1:15" hidden="1">
      <c r="A50" s="108">
        <v>49</v>
      </c>
      <c r="B50" s="57" t="s">
        <v>32</v>
      </c>
      <c r="C50" s="64" t="s">
        <v>971</v>
      </c>
      <c r="D50" s="58" t="s">
        <v>972</v>
      </c>
      <c r="E50" s="58">
        <v>16</v>
      </c>
      <c r="F50" s="58" t="s">
        <v>276</v>
      </c>
      <c r="G50" s="58" t="s">
        <v>77</v>
      </c>
      <c r="H50" s="59" t="s">
        <v>1381</v>
      </c>
      <c r="I50" s="61" t="s">
        <v>737</v>
      </c>
      <c r="J50" s="61" t="s">
        <v>973</v>
      </c>
      <c r="K50" s="61" t="s">
        <v>108</v>
      </c>
      <c r="L50" s="61" t="s">
        <v>135</v>
      </c>
      <c r="M50" s="62" t="s">
        <v>136</v>
      </c>
      <c r="N50" s="61" t="s">
        <v>111</v>
      </c>
      <c r="O50" s="5"/>
    </row>
    <row r="51" spans="1:15" hidden="1">
      <c r="A51" s="115">
        <v>50</v>
      </c>
      <c r="B51" s="57" t="s">
        <v>32</v>
      </c>
      <c r="C51" s="64" t="s">
        <v>976</v>
      </c>
      <c r="D51" s="58" t="s">
        <v>977</v>
      </c>
      <c r="E51" s="58">
        <v>15</v>
      </c>
      <c r="F51" s="58" t="s">
        <v>231</v>
      </c>
      <c r="G51" s="58" t="s">
        <v>77</v>
      </c>
      <c r="H51" s="59" t="s">
        <v>1381</v>
      </c>
      <c r="I51" s="61"/>
      <c r="J51" s="61"/>
      <c r="K51" s="67" t="s">
        <v>1321</v>
      </c>
      <c r="L51" s="61"/>
      <c r="M51" s="62"/>
      <c r="N51" s="61" t="s">
        <v>122</v>
      </c>
      <c r="O51" s="5"/>
    </row>
    <row r="52" spans="1:15" hidden="1">
      <c r="A52" s="108">
        <v>51</v>
      </c>
      <c r="B52" s="57" t="s">
        <v>32</v>
      </c>
      <c r="C52" s="64" t="s">
        <v>978</v>
      </c>
      <c r="D52" s="58" t="s">
        <v>979</v>
      </c>
      <c r="E52" s="58">
        <v>17</v>
      </c>
      <c r="F52" s="58" t="s">
        <v>980</v>
      </c>
      <c r="G52" s="58" t="s">
        <v>77</v>
      </c>
      <c r="H52" s="59" t="s">
        <v>1377</v>
      </c>
      <c r="I52" s="61" t="s">
        <v>981</v>
      </c>
      <c r="J52" s="61" t="s">
        <v>643</v>
      </c>
      <c r="K52" s="61" t="s">
        <v>198</v>
      </c>
      <c r="L52" s="61" t="s">
        <v>135</v>
      </c>
      <c r="M52" s="62" t="s">
        <v>136</v>
      </c>
      <c r="N52" s="61" t="s">
        <v>111</v>
      </c>
      <c r="O52" s="5"/>
    </row>
    <row r="53" spans="1:15" hidden="1">
      <c r="A53" s="115">
        <v>52</v>
      </c>
      <c r="B53" s="57" t="s">
        <v>32</v>
      </c>
      <c r="C53" s="64" t="s">
        <v>1382</v>
      </c>
      <c r="D53" s="58" t="s">
        <v>1383</v>
      </c>
      <c r="E53" s="58">
        <v>28</v>
      </c>
      <c r="F53" s="58" t="s">
        <v>1384</v>
      </c>
      <c r="G53" s="58" t="s">
        <v>77</v>
      </c>
      <c r="H53" s="59" t="s">
        <v>1377</v>
      </c>
      <c r="I53" s="67"/>
      <c r="J53" s="67"/>
      <c r="K53" s="61" t="s">
        <v>1313</v>
      </c>
      <c r="L53" s="61" t="s">
        <v>1313</v>
      </c>
      <c r="M53" s="68"/>
      <c r="N53" s="61" t="s">
        <v>16</v>
      </c>
      <c r="O53" s="5"/>
    </row>
    <row r="54" spans="1:15" hidden="1">
      <c r="A54" s="115">
        <v>53</v>
      </c>
      <c r="B54" s="57" t="s">
        <v>32</v>
      </c>
      <c r="C54" s="64" t="s">
        <v>982</v>
      </c>
      <c r="D54" s="58" t="s">
        <v>983</v>
      </c>
      <c r="E54" s="58">
        <v>16</v>
      </c>
      <c r="F54" s="58" t="s">
        <v>984</v>
      </c>
      <c r="G54" s="58" t="s">
        <v>77</v>
      </c>
      <c r="H54" s="59" t="s">
        <v>1377</v>
      </c>
      <c r="I54" s="74" t="s">
        <v>638</v>
      </c>
      <c r="J54" s="74" t="s">
        <v>985</v>
      </c>
      <c r="K54" s="74" t="s">
        <v>846</v>
      </c>
      <c r="L54" s="74" t="s">
        <v>136</v>
      </c>
      <c r="M54" s="75" t="s">
        <v>200</v>
      </c>
      <c r="N54" s="74" t="s">
        <v>117</v>
      </c>
      <c r="O54" s="5"/>
    </row>
    <row r="55" spans="1:15">
      <c r="A55" s="108">
        <v>54</v>
      </c>
      <c r="B55" s="57" t="s">
        <v>32</v>
      </c>
      <c r="C55" s="64" t="s">
        <v>1133</v>
      </c>
      <c r="D55" s="58" t="s">
        <v>1134</v>
      </c>
      <c r="E55" s="58">
        <v>20</v>
      </c>
      <c r="F55" s="58" t="s">
        <v>613</v>
      </c>
      <c r="G55" s="76" t="s">
        <v>83</v>
      </c>
      <c r="H55" s="59" t="s">
        <v>1385</v>
      </c>
      <c r="I55" s="61" t="s">
        <v>1135</v>
      </c>
      <c r="J55" s="61" t="s">
        <v>664</v>
      </c>
      <c r="K55" s="61" t="s">
        <v>108</v>
      </c>
      <c r="L55" s="61" t="s">
        <v>130</v>
      </c>
      <c r="M55" t="s">
        <v>110</v>
      </c>
      <c r="N55" s="61" t="s">
        <v>162</v>
      </c>
      <c r="O55" s="5"/>
    </row>
    <row r="56" spans="1:15">
      <c r="A56" s="108">
        <v>55</v>
      </c>
      <c r="B56" s="57" t="s">
        <v>32</v>
      </c>
      <c r="C56" s="64" t="s">
        <v>1136</v>
      </c>
      <c r="D56" s="58" t="s">
        <v>1137</v>
      </c>
      <c r="E56" s="58">
        <v>24</v>
      </c>
      <c r="F56" s="58" t="s">
        <v>143</v>
      </c>
      <c r="G56" s="76" t="s">
        <v>83</v>
      </c>
      <c r="H56" s="59" t="s">
        <v>1385</v>
      </c>
      <c r="I56" s="61" t="s">
        <v>1138</v>
      </c>
      <c r="J56" s="61" t="s">
        <v>807</v>
      </c>
      <c r="K56" s="61" t="s">
        <v>108</v>
      </c>
      <c r="L56" s="61" t="s">
        <v>135</v>
      </c>
      <c r="M56" s="61" t="s">
        <v>136</v>
      </c>
      <c r="N56" s="61" t="s">
        <v>111</v>
      </c>
      <c r="O56" s="5"/>
    </row>
    <row r="57" spans="1:15">
      <c r="A57" s="115">
        <v>56</v>
      </c>
      <c r="B57" s="57" t="s">
        <v>32</v>
      </c>
      <c r="C57" s="64" t="s">
        <v>1139</v>
      </c>
      <c r="D57" s="58" t="s">
        <v>1140</v>
      </c>
      <c r="E57" s="58">
        <v>12</v>
      </c>
      <c r="F57" s="58" t="s">
        <v>159</v>
      </c>
      <c r="G57" s="76" t="s">
        <v>83</v>
      </c>
      <c r="H57" s="59" t="s">
        <v>1385</v>
      </c>
      <c r="I57" s="61"/>
      <c r="J57" s="61"/>
      <c r="K57" s="61" t="s">
        <v>1313</v>
      </c>
      <c r="L57" s="61" t="s">
        <v>1313</v>
      </c>
      <c r="M57" s="61"/>
      <c r="N57" s="61" t="s">
        <v>16</v>
      </c>
      <c r="O57" s="5"/>
    </row>
    <row r="58" spans="1:15">
      <c r="A58" s="115">
        <v>57</v>
      </c>
      <c r="B58" s="57" t="s">
        <v>32</v>
      </c>
      <c r="C58" s="64" t="s">
        <v>1141</v>
      </c>
      <c r="D58" s="58" t="s">
        <v>1142</v>
      </c>
      <c r="E58" s="58">
        <v>13</v>
      </c>
      <c r="F58" s="58" t="s">
        <v>231</v>
      </c>
      <c r="G58" s="76" t="s">
        <v>83</v>
      </c>
      <c r="H58" s="59" t="s">
        <v>1385</v>
      </c>
      <c r="I58" s="61" t="s">
        <v>476</v>
      </c>
      <c r="J58" s="61" t="s">
        <v>456</v>
      </c>
      <c r="K58" s="61" t="s">
        <v>108</v>
      </c>
      <c r="L58" s="61" t="s">
        <v>135</v>
      </c>
      <c r="M58" s="61" t="s">
        <v>136</v>
      </c>
      <c r="N58" s="61" t="s">
        <v>111</v>
      </c>
      <c r="O58" s="5"/>
    </row>
    <row r="59" spans="1:15">
      <c r="A59" s="108">
        <v>58</v>
      </c>
      <c r="B59" s="57" t="s">
        <v>32</v>
      </c>
      <c r="C59" s="64" t="s">
        <v>1386</v>
      </c>
      <c r="D59" s="58" t="s">
        <v>1387</v>
      </c>
      <c r="E59" s="58">
        <v>18</v>
      </c>
      <c r="F59" s="58" t="s">
        <v>276</v>
      </c>
      <c r="G59" s="76" t="s">
        <v>83</v>
      </c>
      <c r="H59" s="59" t="s">
        <v>1385</v>
      </c>
      <c r="I59" s="65" t="s">
        <v>755</v>
      </c>
      <c r="J59" s="67" t="s">
        <v>724</v>
      </c>
      <c r="K59" s="61" t="s">
        <v>135</v>
      </c>
      <c r="L59" s="61" t="s">
        <v>136</v>
      </c>
      <c r="M59" s="61" t="s">
        <v>150</v>
      </c>
      <c r="N59" s="61" t="s">
        <v>117</v>
      </c>
      <c r="O59" s="5"/>
    </row>
    <row r="60" spans="1:15">
      <c r="A60" s="108">
        <v>59</v>
      </c>
      <c r="B60" s="57" t="s">
        <v>32</v>
      </c>
      <c r="C60" s="64" t="s">
        <v>1143</v>
      </c>
      <c r="D60" s="58" t="s">
        <v>1144</v>
      </c>
      <c r="E60" s="58">
        <v>22</v>
      </c>
      <c r="F60" s="58" t="s">
        <v>226</v>
      </c>
      <c r="G60" s="76" t="s">
        <v>83</v>
      </c>
      <c r="H60" s="59" t="s">
        <v>1385</v>
      </c>
      <c r="I60" s="61"/>
      <c r="J60" s="61"/>
      <c r="K60" s="61" t="s">
        <v>186</v>
      </c>
      <c r="L60" t="s">
        <v>187</v>
      </c>
      <c r="M60" s="61"/>
      <c r="N60" s="61" t="s">
        <v>188</v>
      </c>
      <c r="O60" s="5"/>
    </row>
    <row r="61" spans="1:15">
      <c r="A61" s="115">
        <v>60</v>
      </c>
      <c r="B61" s="57" t="s">
        <v>32</v>
      </c>
      <c r="C61" s="64" t="s">
        <v>1145</v>
      </c>
      <c r="D61" s="58" t="s">
        <v>1146</v>
      </c>
      <c r="E61" s="58">
        <v>6</v>
      </c>
      <c r="F61" s="58" t="s">
        <v>402</v>
      </c>
      <c r="G61" s="76" t="s">
        <v>83</v>
      </c>
      <c r="H61" s="59" t="s">
        <v>1385</v>
      </c>
      <c r="I61" s="74" t="s">
        <v>1147</v>
      </c>
      <c r="J61" s="74" t="s">
        <v>1148</v>
      </c>
      <c r="K61" s="74" t="s">
        <v>116</v>
      </c>
      <c r="L61" s="74" t="s">
        <v>109</v>
      </c>
      <c r="M61" s="74" t="s">
        <v>110</v>
      </c>
      <c r="N61" s="74" t="s">
        <v>117</v>
      </c>
      <c r="O61" s="5"/>
    </row>
    <row r="62" spans="1:15">
      <c r="A62" s="108">
        <v>61</v>
      </c>
      <c r="B62" s="57" t="s">
        <v>32</v>
      </c>
      <c r="C62" s="64" t="s">
        <v>1225</v>
      </c>
      <c r="D62" s="58" t="s">
        <v>1226</v>
      </c>
      <c r="E62" s="58">
        <v>18</v>
      </c>
      <c r="F62" s="58" t="s">
        <v>226</v>
      </c>
      <c r="G62" s="58" t="s">
        <v>87</v>
      </c>
      <c r="H62" s="59" t="s">
        <v>1388</v>
      </c>
      <c r="I62" s="61" t="s">
        <v>148</v>
      </c>
      <c r="J62" s="61" t="s">
        <v>1227</v>
      </c>
      <c r="K62" s="61" t="s">
        <v>108</v>
      </c>
      <c r="L62" s="61" t="s">
        <v>135</v>
      </c>
      <c r="M62" s="61" t="s">
        <v>136</v>
      </c>
      <c r="N62" s="61" t="s">
        <v>111</v>
      </c>
      <c r="O62" s="5"/>
    </row>
    <row r="63" spans="1:15">
      <c r="A63" s="115">
        <v>62</v>
      </c>
      <c r="B63" s="57" t="s">
        <v>32</v>
      </c>
      <c r="C63" s="64" t="s">
        <v>1228</v>
      </c>
      <c r="D63" s="58" t="s">
        <v>1229</v>
      </c>
      <c r="E63" s="58">
        <v>17</v>
      </c>
      <c r="F63" s="58" t="s">
        <v>276</v>
      </c>
      <c r="G63" s="58" t="s">
        <v>87</v>
      </c>
      <c r="H63" s="59" t="s">
        <v>1388</v>
      </c>
      <c r="I63" s="67"/>
      <c r="J63" s="67"/>
      <c r="K63" s="67" t="s">
        <v>1321</v>
      </c>
      <c r="L63" s="67"/>
      <c r="M63" s="67"/>
      <c r="N63" s="61" t="s">
        <v>122</v>
      </c>
      <c r="O63" s="5"/>
    </row>
    <row r="64" spans="1:15">
      <c r="A64" s="115">
        <v>63</v>
      </c>
      <c r="B64" s="57" t="s">
        <v>32</v>
      </c>
      <c r="C64" s="64" t="s">
        <v>1389</v>
      </c>
      <c r="D64" s="58" t="s">
        <v>1390</v>
      </c>
      <c r="E64" s="58">
        <v>9</v>
      </c>
      <c r="F64" s="58" t="s">
        <v>247</v>
      </c>
      <c r="G64" s="58" t="s">
        <v>87</v>
      </c>
      <c r="H64" s="59" t="s">
        <v>1388</v>
      </c>
      <c r="I64" s="67"/>
      <c r="J64" s="67"/>
      <c r="K64" s="61" t="s">
        <v>186</v>
      </c>
      <c r="L64" t="s">
        <v>187</v>
      </c>
      <c r="M64" s="67"/>
      <c r="N64" s="61" t="s">
        <v>188</v>
      </c>
      <c r="O64" s="5"/>
    </row>
    <row r="65" spans="1:15">
      <c r="A65" s="108">
        <v>64</v>
      </c>
      <c r="B65" s="57" t="s">
        <v>32</v>
      </c>
      <c r="C65" s="64" t="s">
        <v>1391</v>
      </c>
      <c r="D65" s="58" t="s">
        <v>1392</v>
      </c>
      <c r="E65" s="58">
        <v>26</v>
      </c>
      <c r="F65" s="58" t="s">
        <v>247</v>
      </c>
      <c r="G65" s="58" t="s">
        <v>87</v>
      </c>
      <c r="H65" s="59" t="s">
        <v>1388</v>
      </c>
      <c r="I65" s="67"/>
      <c r="J65" s="67"/>
      <c r="K65" s="61" t="s">
        <v>186</v>
      </c>
      <c r="L65" t="s">
        <v>187</v>
      </c>
      <c r="M65" s="67"/>
      <c r="N65" s="61" t="s">
        <v>188</v>
      </c>
      <c r="O65" s="54"/>
    </row>
    <row r="66" spans="1:15" hidden="1">
      <c r="A66" s="108">
        <v>65</v>
      </c>
      <c r="B66" s="57" t="s">
        <v>32</v>
      </c>
      <c r="C66" s="64" t="s">
        <v>1230</v>
      </c>
      <c r="D66" s="58" t="s">
        <v>1231</v>
      </c>
      <c r="E66" s="58">
        <v>15</v>
      </c>
      <c r="F66" s="58" t="s">
        <v>226</v>
      </c>
      <c r="G66" s="58" t="s">
        <v>87</v>
      </c>
      <c r="H66" s="59" t="s">
        <v>1388</v>
      </c>
      <c r="I66" s="67"/>
      <c r="J66" s="67"/>
      <c r="K66" s="67" t="s">
        <v>1365</v>
      </c>
      <c r="L66" s="67"/>
      <c r="M66" s="67"/>
      <c r="N66" s="61" t="s">
        <v>12</v>
      </c>
      <c r="O66" s="54"/>
    </row>
    <row r="67" spans="1:15">
      <c r="A67" s="115">
        <v>66</v>
      </c>
      <c r="B67" s="57" t="s">
        <v>32</v>
      </c>
      <c r="C67" s="64" t="s">
        <v>1232</v>
      </c>
      <c r="D67" s="58" t="s">
        <v>1233</v>
      </c>
      <c r="E67" s="58">
        <v>20</v>
      </c>
      <c r="F67" s="58" t="s">
        <v>247</v>
      </c>
      <c r="G67" s="58" t="s">
        <v>87</v>
      </c>
      <c r="H67" s="59" t="s">
        <v>1388</v>
      </c>
      <c r="I67" s="67"/>
      <c r="J67" s="67"/>
      <c r="K67" s="61" t="s">
        <v>1313</v>
      </c>
      <c r="L67" s="61" t="s">
        <v>1313</v>
      </c>
      <c r="M67" s="67"/>
      <c r="N67" s="61" t="s">
        <v>16</v>
      </c>
      <c r="O67" s="54"/>
    </row>
    <row r="68" spans="1:15">
      <c r="A68" s="115">
        <v>67</v>
      </c>
      <c r="B68" s="57" t="s">
        <v>32</v>
      </c>
      <c r="C68" s="64" t="s">
        <v>1234</v>
      </c>
      <c r="D68" s="58" t="s">
        <v>1235</v>
      </c>
      <c r="E68" s="58">
        <v>14</v>
      </c>
      <c r="F68" s="58" t="s">
        <v>247</v>
      </c>
      <c r="G68" s="58" t="s">
        <v>87</v>
      </c>
      <c r="H68" s="59" t="s">
        <v>1388</v>
      </c>
      <c r="I68" s="65" t="s">
        <v>1393</v>
      </c>
      <c r="J68" s="67" t="s">
        <v>1394</v>
      </c>
      <c r="K68" s="61" t="s">
        <v>135</v>
      </c>
      <c r="L68" s="61" t="s">
        <v>136</v>
      </c>
      <c r="M68" s="61" t="s">
        <v>150</v>
      </c>
      <c r="N68" s="61" t="s">
        <v>117</v>
      </c>
      <c r="O68" s="54"/>
    </row>
    <row r="69" spans="1:15">
      <c r="A69" s="108">
        <v>68</v>
      </c>
      <c r="B69" s="57" t="s">
        <v>32</v>
      </c>
      <c r="C69" s="64" t="s">
        <v>1395</v>
      </c>
      <c r="D69" s="58" t="s">
        <v>1396</v>
      </c>
      <c r="E69" s="58">
        <v>18</v>
      </c>
      <c r="F69" s="58" t="s">
        <v>247</v>
      </c>
      <c r="G69" s="58" t="s">
        <v>87</v>
      </c>
      <c r="H69" s="59" t="s">
        <v>1388</v>
      </c>
      <c r="I69" s="67"/>
      <c r="J69" s="67"/>
      <c r="K69" s="61" t="s">
        <v>1313</v>
      </c>
      <c r="L69" s="61" t="s">
        <v>1313</v>
      </c>
      <c r="M69" s="67"/>
      <c r="N69" s="61" t="s">
        <v>16</v>
      </c>
      <c r="O69" s="54"/>
    </row>
    <row r="70" spans="1:15">
      <c r="A70" s="108">
        <v>69</v>
      </c>
      <c r="B70" s="57" t="s">
        <v>32</v>
      </c>
      <c r="C70" s="64" t="s">
        <v>1397</v>
      </c>
      <c r="D70" s="58" t="s">
        <v>1398</v>
      </c>
      <c r="E70" s="58">
        <v>20</v>
      </c>
      <c r="F70" s="58" t="s">
        <v>231</v>
      </c>
      <c r="G70" s="58" t="s">
        <v>87</v>
      </c>
      <c r="H70" s="59" t="s">
        <v>1388</v>
      </c>
      <c r="I70" s="67"/>
      <c r="J70" s="67"/>
      <c r="K70" s="61" t="s">
        <v>1313</v>
      </c>
      <c r="L70" s="61" t="s">
        <v>1313</v>
      </c>
      <c r="M70" s="67"/>
      <c r="N70" s="61" t="s">
        <v>16</v>
      </c>
      <c r="O70" s="54"/>
    </row>
    <row r="71" spans="1:15" hidden="1">
      <c r="A71" s="115">
        <v>70</v>
      </c>
      <c r="B71" s="57" t="s">
        <v>32</v>
      </c>
      <c r="C71" s="64" t="s">
        <v>1236</v>
      </c>
      <c r="D71" s="58" t="s">
        <v>1237</v>
      </c>
      <c r="E71" s="58">
        <v>26</v>
      </c>
      <c r="F71" s="58" t="s">
        <v>276</v>
      </c>
      <c r="G71" s="58" t="s">
        <v>87</v>
      </c>
      <c r="H71" s="59" t="s">
        <v>1388</v>
      </c>
      <c r="I71" s="67"/>
      <c r="J71" s="67"/>
      <c r="K71" s="67" t="s">
        <v>1365</v>
      </c>
      <c r="L71" s="67"/>
      <c r="M71" s="67"/>
      <c r="N71" s="61" t="s">
        <v>12</v>
      </c>
      <c r="O71" s="54"/>
    </row>
    <row r="72" spans="1:15">
      <c r="A72" s="108">
        <v>71</v>
      </c>
      <c r="B72" s="57" t="s">
        <v>32</v>
      </c>
      <c r="C72" s="64" t="s">
        <v>1238</v>
      </c>
      <c r="D72" s="58" t="s">
        <v>1239</v>
      </c>
      <c r="E72" s="58">
        <v>14</v>
      </c>
      <c r="F72" s="58" t="s">
        <v>247</v>
      </c>
      <c r="G72" s="58" t="s">
        <v>87</v>
      </c>
      <c r="H72" s="59" t="s">
        <v>1388</v>
      </c>
      <c r="I72" s="67"/>
      <c r="J72" s="67"/>
      <c r="K72" s="67" t="s">
        <v>1321</v>
      </c>
      <c r="L72" s="67"/>
      <c r="M72" s="67"/>
      <c r="N72" s="61" t="s">
        <v>122</v>
      </c>
      <c r="O72" s="54"/>
    </row>
    <row r="73" spans="1:15" hidden="1">
      <c r="A73" s="115">
        <v>72</v>
      </c>
      <c r="B73" s="57" t="s">
        <v>32</v>
      </c>
      <c r="C73" s="64" t="s">
        <v>1240</v>
      </c>
      <c r="D73" s="58" t="s">
        <v>1241</v>
      </c>
      <c r="E73" s="58">
        <v>31</v>
      </c>
      <c r="F73" s="58" t="s">
        <v>226</v>
      </c>
      <c r="G73" s="58" t="s">
        <v>87</v>
      </c>
      <c r="H73" s="59" t="s">
        <v>1388</v>
      </c>
      <c r="I73" s="67"/>
      <c r="J73" s="67"/>
      <c r="K73" s="67" t="s">
        <v>1365</v>
      </c>
      <c r="L73" s="67"/>
      <c r="M73" s="67"/>
      <c r="N73" s="61" t="s">
        <v>12</v>
      </c>
      <c r="O73" s="54"/>
    </row>
    <row r="74" spans="1:15">
      <c r="A74" s="115">
        <v>73</v>
      </c>
      <c r="B74" s="57" t="s">
        <v>32</v>
      </c>
      <c r="C74" s="64" t="s">
        <v>1242</v>
      </c>
      <c r="D74" s="58" t="s">
        <v>1243</v>
      </c>
      <c r="E74" s="58">
        <v>18</v>
      </c>
      <c r="F74" s="58" t="s">
        <v>231</v>
      </c>
      <c r="G74" s="58" t="s">
        <v>87</v>
      </c>
      <c r="H74" s="59" t="s">
        <v>1388</v>
      </c>
      <c r="I74" s="67"/>
      <c r="J74" s="67"/>
      <c r="K74" s="67" t="s">
        <v>1321</v>
      </c>
      <c r="L74" s="67"/>
      <c r="M74" s="67"/>
      <c r="N74" s="61" t="s">
        <v>122</v>
      </c>
      <c r="O74" s="5"/>
    </row>
    <row r="75" spans="1:15">
      <c r="A75" s="108">
        <v>74</v>
      </c>
      <c r="B75" s="57" t="s">
        <v>32</v>
      </c>
      <c r="C75" s="64" t="s">
        <v>1399</v>
      </c>
      <c r="D75" s="58" t="s">
        <v>1400</v>
      </c>
      <c r="E75" s="58">
        <v>14</v>
      </c>
      <c r="F75" s="58" t="s">
        <v>247</v>
      </c>
      <c r="G75" s="58" t="s">
        <v>87</v>
      </c>
      <c r="H75" s="59" t="s">
        <v>1388</v>
      </c>
      <c r="I75" s="65" t="s">
        <v>1401</v>
      </c>
      <c r="J75" s="67" t="s">
        <v>1393</v>
      </c>
      <c r="K75" s="67" t="s">
        <v>136</v>
      </c>
      <c r="L75" s="67" t="s">
        <v>315</v>
      </c>
      <c r="M75" s="67" t="s">
        <v>635</v>
      </c>
      <c r="N75" s="61" t="s">
        <v>117</v>
      </c>
      <c r="O75" s="5"/>
    </row>
    <row r="76" spans="1:15">
      <c r="A76" s="108">
        <v>75</v>
      </c>
      <c r="B76" s="57" t="s">
        <v>32</v>
      </c>
      <c r="C76" s="64" t="s">
        <v>1402</v>
      </c>
      <c r="D76" s="58" t="s">
        <v>1403</v>
      </c>
      <c r="E76" s="58">
        <v>24</v>
      </c>
      <c r="F76" s="58" t="s">
        <v>226</v>
      </c>
      <c r="G76" s="58" t="s">
        <v>87</v>
      </c>
      <c r="H76" s="59" t="s">
        <v>1388</v>
      </c>
      <c r="I76" s="67"/>
      <c r="J76" s="67"/>
      <c r="K76" s="67" t="s">
        <v>1321</v>
      </c>
      <c r="L76" s="67"/>
      <c r="M76" s="67"/>
      <c r="N76" s="61" t="s">
        <v>122</v>
      </c>
      <c r="O76" s="5"/>
    </row>
    <row r="77" spans="1:15">
      <c r="A77" s="115">
        <v>76</v>
      </c>
      <c r="B77" s="57" t="s">
        <v>32</v>
      </c>
      <c r="C77" s="64" t="s">
        <v>1404</v>
      </c>
      <c r="D77" s="58" t="s">
        <v>1405</v>
      </c>
      <c r="E77" s="58">
        <v>30</v>
      </c>
      <c r="F77" s="58" t="s">
        <v>247</v>
      </c>
      <c r="G77" s="58" t="s">
        <v>87</v>
      </c>
      <c r="H77" s="59" t="s">
        <v>1388</v>
      </c>
      <c r="I77" s="67"/>
      <c r="J77" s="67"/>
      <c r="K77" s="61" t="s">
        <v>186</v>
      </c>
      <c r="L77" t="s">
        <v>187</v>
      </c>
      <c r="M77" s="67"/>
      <c r="N77" s="61" t="s">
        <v>188</v>
      </c>
      <c r="O77" s="5"/>
    </row>
    <row r="78" spans="1:15">
      <c r="A78" s="115">
        <v>77</v>
      </c>
      <c r="B78" s="57" t="s">
        <v>32</v>
      </c>
      <c r="C78" s="64" t="s">
        <v>1244</v>
      </c>
      <c r="D78" s="58" t="s">
        <v>1245</v>
      </c>
      <c r="E78" s="58">
        <v>16</v>
      </c>
      <c r="F78" s="58" t="s">
        <v>226</v>
      </c>
      <c r="G78" s="58" t="s">
        <v>87</v>
      </c>
      <c r="H78" s="59" t="s">
        <v>1388</v>
      </c>
      <c r="I78" s="65" t="s">
        <v>1406</v>
      </c>
      <c r="J78" s="67" t="s">
        <v>1407</v>
      </c>
      <c r="K78" s="61" t="s">
        <v>135</v>
      </c>
      <c r="L78" s="61" t="s">
        <v>136</v>
      </c>
      <c r="M78" s="61" t="s">
        <v>150</v>
      </c>
      <c r="N78" s="61" t="s">
        <v>117</v>
      </c>
      <c r="O78" s="5"/>
    </row>
    <row r="79" spans="1:15">
      <c r="A79" s="108">
        <v>78</v>
      </c>
      <c r="B79" s="57" t="s">
        <v>32</v>
      </c>
      <c r="C79" s="64" t="s">
        <v>1246</v>
      </c>
      <c r="D79" s="58" t="s">
        <v>1247</v>
      </c>
      <c r="E79" s="58">
        <v>16</v>
      </c>
      <c r="F79" s="58" t="s">
        <v>226</v>
      </c>
      <c r="G79" s="58" t="s">
        <v>87</v>
      </c>
      <c r="H79" s="59" t="s">
        <v>1388</v>
      </c>
      <c r="I79" s="61" t="s">
        <v>396</v>
      </c>
      <c r="J79" s="61" t="s">
        <v>258</v>
      </c>
      <c r="K79" s="61" t="s">
        <v>108</v>
      </c>
      <c r="L79" s="61" t="s">
        <v>135</v>
      </c>
      <c r="M79" s="61" t="s">
        <v>136</v>
      </c>
      <c r="N79" s="61" t="s">
        <v>162</v>
      </c>
      <c r="O79" s="5"/>
    </row>
    <row r="80" spans="1:15">
      <c r="A80" s="108">
        <v>79</v>
      </c>
      <c r="B80" s="57" t="s">
        <v>32</v>
      </c>
      <c r="C80" s="64" t="s">
        <v>1408</v>
      </c>
      <c r="D80" s="58" t="s">
        <v>1409</v>
      </c>
      <c r="E80" s="58">
        <v>14</v>
      </c>
      <c r="F80" s="58" t="s">
        <v>231</v>
      </c>
      <c r="G80" s="58" t="s">
        <v>87</v>
      </c>
      <c r="H80" s="59" t="s">
        <v>1388</v>
      </c>
      <c r="I80" s="67"/>
      <c r="J80" s="67"/>
      <c r="K80" s="67" t="s">
        <v>1321</v>
      </c>
      <c r="L80" s="67"/>
      <c r="M80" s="67"/>
      <c r="N80" s="61" t="s">
        <v>122</v>
      </c>
      <c r="O80" s="5"/>
    </row>
    <row r="81" spans="1:16">
      <c r="A81" s="115">
        <v>80</v>
      </c>
      <c r="B81" s="57" t="s">
        <v>32</v>
      </c>
      <c r="C81" s="64" t="s">
        <v>1410</v>
      </c>
      <c r="D81" s="58" t="s">
        <v>1411</v>
      </c>
      <c r="E81" s="58">
        <v>24</v>
      </c>
      <c r="F81" s="58" t="s">
        <v>247</v>
      </c>
      <c r="G81" s="58" t="s">
        <v>87</v>
      </c>
      <c r="H81" s="59" t="s">
        <v>1388</v>
      </c>
      <c r="I81" s="77"/>
      <c r="J81" s="77"/>
      <c r="K81" s="74" t="s">
        <v>1313</v>
      </c>
      <c r="L81" s="74" t="s">
        <v>1313</v>
      </c>
      <c r="M81" s="77"/>
      <c r="N81" s="74" t="s">
        <v>16</v>
      </c>
      <c r="O81" s="5"/>
    </row>
    <row r="82" spans="1:16">
      <c r="A82" s="108">
        <v>81</v>
      </c>
      <c r="B82" s="57" t="s">
        <v>32</v>
      </c>
      <c r="C82" s="64" t="s">
        <v>757</v>
      </c>
      <c r="D82" s="58" t="s">
        <v>758</v>
      </c>
      <c r="E82" s="58">
        <v>13</v>
      </c>
      <c r="F82" s="58" t="s">
        <v>226</v>
      </c>
      <c r="G82" s="58" t="s">
        <v>66</v>
      </c>
      <c r="H82" s="59" t="s">
        <v>1412</v>
      </c>
      <c r="I82" s="61" t="s">
        <v>755</v>
      </c>
      <c r="J82" s="61" t="s">
        <v>241</v>
      </c>
      <c r="K82" s="61" t="s">
        <v>135</v>
      </c>
      <c r="L82" s="61" t="s">
        <v>136</v>
      </c>
      <c r="M82" s="62" t="s">
        <v>150</v>
      </c>
      <c r="N82" s="61" t="s">
        <v>111</v>
      </c>
      <c r="O82" s="5"/>
    </row>
    <row r="83" spans="1:16" hidden="1">
      <c r="A83" s="115">
        <v>82</v>
      </c>
      <c r="B83" s="57" t="s">
        <v>32</v>
      </c>
      <c r="C83" s="64" t="s">
        <v>759</v>
      </c>
      <c r="D83" s="58" t="s">
        <v>760</v>
      </c>
      <c r="E83" s="58">
        <v>22</v>
      </c>
      <c r="F83" s="58" t="s">
        <v>226</v>
      </c>
      <c r="G83" s="58" t="s">
        <v>66</v>
      </c>
      <c r="H83" s="59" t="s">
        <v>1412</v>
      </c>
      <c r="I83" s="61"/>
      <c r="J83" s="61"/>
      <c r="K83" s="67" t="s">
        <v>1365</v>
      </c>
      <c r="L83" s="61"/>
      <c r="M83" s="62"/>
      <c r="N83" s="61" t="s">
        <v>12</v>
      </c>
      <c r="O83" s="5"/>
    </row>
    <row r="84" spans="1:16" hidden="1">
      <c r="A84" s="115">
        <v>83</v>
      </c>
      <c r="B84" s="57" t="s">
        <v>32</v>
      </c>
      <c r="C84" s="64" t="s">
        <v>1413</v>
      </c>
      <c r="D84" s="58" t="s">
        <v>1414</v>
      </c>
      <c r="E84" s="58">
        <v>11</v>
      </c>
      <c r="F84" s="58" t="s">
        <v>226</v>
      </c>
      <c r="G84" s="58" t="s">
        <v>66</v>
      </c>
      <c r="H84" s="59" t="s">
        <v>1412</v>
      </c>
      <c r="I84" s="67"/>
      <c r="J84" s="67"/>
      <c r="K84" s="67" t="s">
        <v>1365</v>
      </c>
      <c r="L84" s="67"/>
      <c r="M84" s="68"/>
      <c r="N84" s="61" t="s">
        <v>12</v>
      </c>
      <c r="O84" s="16"/>
      <c r="P84" s="5"/>
    </row>
    <row r="85" spans="1:16">
      <c r="A85" s="108">
        <v>84</v>
      </c>
      <c r="B85" s="57" t="s">
        <v>32</v>
      </c>
      <c r="C85" s="64" t="s">
        <v>761</v>
      </c>
      <c r="D85" s="58" t="s">
        <v>762</v>
      </c>
      <c r="E85" s="58">
        <v>17</v>
      </c>
      <c r="F85" s="58" t="s">
        <v>231</v>
      </c>
      <c r="G85" s="58" t="s">
        <v>66</v>
      </c>
      <c r="H85" s="59" t="s">
        <v>1412</v>
      </c>
      <c r="I85" s="61" t="s">
        <v>763</v>
      </c>
      <c r="J85" s="61" t="s">
        <v>643</v>
      </c>
      <c r="K85" s="61" t="s">
        <v>108</v>
      </c>
      <c r="L85" s="61" t="s">
        <v>135</v>
      </c>
      <c r="M85" s="62" t="s">
        <v>136</v>
      </c>
      <c r="N85" s="61" t="s">
        <v>162</v>
      </c>
      <c r="O85" s="16"/>
      <c r="P85" s="5"/>
    </row>
    <row r="86" spans="1:16">
      <c r="A86" s="108">
        <v>85</v>
      </c>
      <c r="B86" s="57" t="s">
        <v>32</v>
      </c>
      <c r="C86" s="64" t="s">
        <v>1415</v>
      </c>
      <c r="D86" s="58" t="s">
        <v>1416</v>
      </c>
      <c r="E86" s="58">
        <v>15</v>
      </c>
      <c r="F86" s="58" t="s">
        <v>697</v>
      </c>
      <c r="G86" s="58" t="s">
        <v>66</v>
      </c>
      <c r="H86" s="59" t="s">
        <v>1412</v>
      </c>
      <c r="I86" s="67"/>
      <c r="J86" s="67"/>
      <c r="K86" s="61" t="s">
        <v>1313</v>
      </c>
      <c r="L86" s="61" t="s">
        <v>1313</v>
      </c>
      <c r="M86" s="68"/>
      <c r="N86" s="61" t="s">
        <v>16</v>
      </c>
      <c r="O86" s="16"/>
      <c r="P86" s="5"/>
    </row>
    <row r="87" spans="1:16">
      <c r="A87" s="115">
        <v>86</v>
      </c>
      <c r="B87" s="57" t="s">
        <v>32</v>
      </c>
      <c r="C87" s="64" t="s">
        <v>764</v>
      </c>
      <c r="D87" s="58" t="s">
        <v>765</v>
      </c>
      <c r="E87" s="58">
        <v>18</v>
      </c>
      <c r="F87" s="58" t="s">
        <v>713</v>
      </c>
      <c r="G87" s="58" t="s">
        <v>66</v>
      </c>
      <c r="H87" s="59" t="s">
        <v>1412</v>
      </c>
      <c r="I87" s="61" t="s">
        <v>766</v>
      </c>
      <c r="J87" s="61" t="s">
        <v>767</v>
      </c>
      <c r="K87" s="61" t="s">
        <v>135</v>
      </c>
      <c r="L87" s="61" t="s">
        <v>136</v>
      </c>
      <c r="M87" s="62" t="s">
        <v>150</v>
      </c>
      <c r="N87" s="61" t="s">
        <v>117</v>
      </c>
      <c r="O87" s="16"/>
      <c r="P87" s="5"/>
    </row>
    <row r="88" spans="1:16">
      <c r="A88" s="115">
        <v>87</v>
      </c>
      <c r="B88" s="57" t="s">
        <v>32</v>
      </c>
      <c r="C88" s="64" t="s">
        <v>1417</v>
      </c>
      <c r="D88" s="58" t="s">
        <v>1418</v>
      </c>
      <c r="E88" s="58">
        <v>37</v>
      </c>
      <c r="F88" s="58" t="s">
        <v>226</v>
      </c>
      <c r="G88" s="58" t="s">
        <v>66</v>
      </c>
      <c r="H88" s="59" t="s">
        <v>1412</v>
      </c>
      <c r="I88" s="67"/>
      <c r="J88" s="67"/>
      <c r="K88" s="61" t="s">
        <v>1313</v>
      </c>
      <c r="L88" s="61" t="s">
        <v>1313</v>
      </c>
      <c r="M88" s="68"/>
      <c r="N88" s="61" t="s">
        <v>16</v>
      </c>
      <c r="O88" s="16"/>
      <c r="P88" s="5"/>
    </row>
    <row r="89" spans="1:16" hidden="1">
      <c r="A89" s="108">
        <v>88</v>
      </c>
      <c r="B89" s="57" t="s">
        <v>32</v>
      </c>
      <c r="C89" s="64" t="s">
        <v>1419</v>
      </c>
      <c r="D89" s="58" t="s">
        <v>1420</v>
      </c>
      <c r="E89" s="58">
        <v>16</v>
      </c>
      <c r="F89" s="58" t="s">
        <v>226</v>
      </c>
      <c r="G89" s="58" t="s">
        <v>66</v>
      </c>
      <c r="H89" s="59" t="s">
        <v>1412</v>
      </c>
      <c r="I89" s="67"/>
      <c r="J89" s="67"/>
      <c r="K89" s="67" t="s">
        <v>1365</v>
      </c>
      <c r="L89" s="67"/>
      <c r="M89" s="68"/>
      <c r="N89" s="61" t="s">
        <v>12</v>
      </c>
      <c r="O89" s="16"/>
      <c r="P89" s="5"/>
    </row>
    <row r="90" spans="1:16">
      <c r="A90" s="108">
        <v>89</v>
      </c>
      <c r="B90" s="57" t="s">
        <v>32</v>
      </c>
      <c r="C90" s="64" t="s">
        <v>768</v>
      </c>
      <c r="D90" s="58" t="s">
        <v>769</v>
      </c>
      <c r="E90" s="58">
        <v>10</v>
      </c>
      <c r="F90" s="58" t="s">
        <v>697</v>
      </c>
      <c r="G90" s="58" t="s">
        <v>66</v>
      </c>
      <c r="H90" s="59" t="s">
        <v>1412</v>
      </c>
      <c r="I90" s="61" t="s">
        <v>770</v>
      </c>
      <c r="J90" s="61" t="s">
        <v>284</v>
      </c>
      <c r="K90" s="61" t="s">
        <v>108</v>
      </c>
      <c r="L90" t="s">
        <v>109</v>
      </c>
      <c r="M90" t="s">
        <v>110</v>
      </c>
      <c r="N90" s="74" t="s">
        <v>162</v>
      </c>
      <c r="O90" s="16"/>
      <c r="P90" s="5"/>
    </row>
    <row r="91" spans="1:16">
      <c r="A91" s="115">
        <v>90</v>
      </c>
      <c r="B91" s="57" t="s">
        <v>32</v>
      </c>
      <c r="C91" s="64" t="s">
        <v>771</v>
      </c>
      <c r="D91" s="58" t="s">
        <v>772</v>
      </c>
      <c r="E91" s="58">
        <v>17</v>
      </c>
      <c r="F91" s="58" t="s">
        <v>276</v>
      </c>
      <c r="G91" s="58" t="s">
        <v>66</v>
      </c>
      <c r="H91" s="59" t="s">
        <v>1412</v>
      </c>
      <c r="I91" s="77"/>
      <c r="J91" s="77"/>
      <c r="K91" s="77" t="s">
        <v>1321</v>
      </c>
      <c r="L91" s="77"/>
      <c r="M91" s="78"/>
      <c r="N91" s="61" t="s">
        <v>122</v>
      </c>
      <c r="O91" s="16"/>
      <c r="P91" s="5"/>
    </row>
    <row r="92" spans="1:16">
      <c r="A92" s="108">
        <v>91</v>
      </c>
      <c r="B92" s="57" t="s">
        <v>32</v>
      </c>
      <c r="C92" s="64" t="s">
        <v>1421</v>
      </c>
      <c r="D92" s="58" t="s">
        <v>1422</v>
      </c>
      <c r="E92" s="58">
        <v>17</v>
      </c>
      <c r="F92" s="58" t="s">
        <v>226</v>
      </c>
      <c r="G92" s="58" t="s">
        <v>962</v>
      </c>
      <c r="H92" s="59" t="s">
        <v>1423</v>
      </c>
      <c r="I92" s="79" t="s">
        <v>617</v>
      </c>
      <c r="J92" s="80" t="s">
        <v>1424</v>
      </c>
      <c r="K92" s="61" t="s">
        <v>135</v>
      </c>
      <c r="L92" s="61" t="s">
        <v>136</v>
      </c>
      <c r="M92" s="61" t="s">
        <v>150</v>
      </c>
      <c r="N92" s="81" t="s">
        <v>117</v>
      </c>
      <c r="O92" s="16"/>
      <c r="P92" s="5"/>
    </row>
    <row r="93" spans="1:16">
      <c r="A93" s="115">
        <v>92</v>
      </c>
      <c r="B93" s="57" t="s">
        <v>32</v>
      </c>
      <c r="C93" s="64" t="s">
        <v>1425</v>
      </c>
      <c r="D93" s="58" t="s">
        <v>591</v>
      </c>
      <c r="E93" s="58">
        <v>18</v>
      </c>
      <c r="F93" s="58" t="s">
        <v>226</v>
      </c>
      <c r="G93" s="58" t="s">
        <v>962</v>
      </c>
      <c r="H93" s="59" t="s">
        <v>1423</v>
      </c>
      <c r="I93" s="65"/>
      <c r="J93" s="67"/>
      <c r="K93" s="82" t="s">
        <v>1313</v>
      </c>
      <c r="L93" s="67" t="s">
        <v>1313</v>
      </c>
      <c r="M93" s="67"/>
      <c r="N93" s="83" t="s">
        <v>16</v>
      </c>
      <c r="O93" s="16"/>
      <c r="P93" s="5"/>
    </row>
    <row r="94" spans="1:16">
      <c r="A94" s="115">
        <v>93</v>
      </c>
      <c r="B94" s="57" t="s">
        <v>32</v>
      </c>
      <c r="C94" s="64" t="s">
        <v>1426</v>
      </c>
      <c r="D94" s="58" t="s">
        <v>1427</v>
      </c>
      <c r="E94" s="58">
        <v>30</v>
      </c>
      <c r="F94" s="58" t="s">
        <v>1428</v>
      </c>
      <c r="G94" s="58" t="s">
        <v>962</v>
      </c>
      <c r="H94" s="59" t="s">
        <v>1423</v>
      </c>
      <c r="I94" s="65" t="s">
        <v>1429</v>
      </c>
      <c r="J94" s="84" t="s">
        <v>1430</v>
      </c>
      <c r="K94" s="82" t="s">
        <v>136</v>
      </c>
      <c r="L94" s="67" t="s">
        <v>315</v>
      </c>
      <c r="M94" s="67" t="s">
        <v>635</v>
      </c>
      <c r="N94" s="83" t="s">
        <v>117</v>
      </c>
      <c r="O94" s="5"/>
    </row>
    <row r="95" spans="1:16">
      <c r="A95" s="108">
        <v>94</v>
      </c>
      <c r="B95" s="57" t="s">
        <v>32</v>
      </c>
      <c r="C95" s="64" t="s">
        <v>1431</v>
      </c>
      <c r="D95" s="58" t="s">
        <v>1432</v>
      </c>
      <c r="E95" s="58">
        <v>18</v>
      </c>
      <c r="F95" s="58" t="s">
        <v>226</v>
      </c>
      <c r="G95" s="58" t="s">
        <v>962</v>
      </c>
      <c r="H95" s="59" t="s">
        <v>1423</v>
      </c>
      <c r="I95" s="65" t="s">
        <v>1433</v>
      </c>
      <c r="J95" s="84" t="s">
        <v>1434</v>
      </c>
      <c r="K95" s="83" t="s">
        <v>108</v>
      </c>
      <c r="L95" s="61" t="s">
        <v>130</v>
      </c>
      <c r="M95" s="61" t="s">
        <v>110</v>
      </c>
      <c r="N95" s="83" t="s">
        <v>117</v>
      </c>
    </row>
    <row r="96" spans="1:16">
      <c r="A96" s="108">
        <v>95</v>
      </c>
      <c r="B96" s="57" t="s">
        <v>32</v>
      </c>
      <c r="C96" s="64" t="s">
        <v>960</v>
      </c>
      <c r="D96" s="58" t="s">
        <v>961</v>
      </c>
      <c r="E96" s="58">
        <v>27</v>
      </c>
      <c r="F96" s="58" t="s">
        <v>713</v>
      </c>
      <c r="G96" s="58" t="s">
        <v>962</v>
      </c>
      <c r="H96" s="59" t="s">
        <v>1423</v>
      </c>
      <c r="I96" s="65" t="s">
        <v>1435</v>
      </c>
      <c r="J96" s="84" t="s">
        <v>1436</v>
      </c>
      <c r="K96" s="82" t="s">
        <v>136</v>
      </c>
      <c r="L96" s="67" t="s">
        <v>315</v>
      </c>
      <c r="M96" t="s">
        <v>635</v>
      </c>
      <c r="N96" s="83" t="s">
        <v>162</v>
      </c>
    </row>
    <row r="97" spans="1:15">
      <c r="A97" s="115">
        <v>96</v>
      </c>
      <c r="B97" s="57" t="s">
        <v>32</v>
      </c>
      <c r="C97" s="64" t="s">
        <v>963</v>
      </c>
      <c r="D97" s="58" t="s">
        <v>964</v>
      </c>
      <c r="E97" s="58">
        <v>18</v>
      </c>
      <c r="F97" s="58" t="s">
        <v>226</v>
      </c>
      <c r="G97" s="58" t="s">
        <v>962</v>
      </c>
      <c r="H97" s="59" t="s">
        <v>1423</v>
      </c>
      <c r="I97" s="65" t="s">
        <v>1437</v>
      </c>
      <c r="J97" s="84" t="s">
        <v>842</v>
      </c>
      <c r="K97" s="83" t="s">
        <v>135</v>
      </c>
      <c r="L97" s="61" t="s">
        <v>136</v>
      </c>
      <c r="M97" s="61" t="s">
        <v>150</v>
      </c>
      <c r="N97" s="83" t="s">
        <v>111</v>
      </c>
    </row>
    <row r="98" spans="1:15" hidden="1">
      <c r="A98" s="115">
        <v>97</v>
      </c>
      <c r="B98" s="56" t="s">
        <v>25</v>
      </c>
      <c r="C98" s="85" t="s">
        <v>1438</v>
      </c>
      <c r="D98" s="56" t="s">
        <v>1439</v>
      </c>
      <c r="E98" s="56">
        <v>14</v>
      </c>
      <c r="F98" s="56" t="s">
        <v>402</v>
      </c>
      <c r="G98" s="56" t="s">
        <v>67</v>
      </c>
      <c r="H98" s="56" t="s">
        <v>1440</v>
      </c>
      <c r="I98" s="56"/>
      <c r="J98" s="5"/>
      <c r="K98" s="5" t="s">
        <v>1365</v>
      </c>
      <c r="L98" s="5"/>
      <c r="M98" s="5"/>
      <c r="N98" s="54" t="s">
        <v>12</v>
      </c>
    </row>
    <row r="99" spans="1:15">
      <c r="A99" s="108">
        <v>98</v>
      </c>
      <c r="B99" s="56" t="s">
        <v>25</v>
      </c>
      <c r="C99" s="85" t="s">
        <v>808</v>
      </c>
      <c r="D99" s="56" t="s">
        <v>809</v>
      </c>
      <c r="E99" s="56">
        <v>11</v>
      </c>
      <c r="F99" s="56" t="s">
        <v>231</v>
      </c>
      <c r="G99" s="56" t="s">
        <v>67</v>
      </c>
      <c r="H99" s="56" t="s">
        <v>1440</v>
      </c>
      <c r="I99" s="54" t="s">
        <v>810</v>
      </c>
      <c r="J99" s="54" t="s">
        <v>811</v>
      </c>
      <c r="K99" s="54" t="s">
        <v>108</v>
      </c>
      <c r="L99" s="54" t="s">
        <v>130</v>
      </c>
      <c r="M99" t="s">
        <v>110</v>
      </c>
      <c r="N99" s="54" t="s">
        <v>162</v>
      </c>
    </row>
    <row r="100" spans="1:15">
      <c r="A100" s="108">
        <v>99</v>
      </c>
      <c r="B100" s="56" t="s">
        <v>25</v>
      </c>
      <c r="C100" s="85" t="s">
        <v>804</v>
      </c>
      <c r="D100" s="56" t="s">
        <v>805</v>
      </c>
      <c r="E100" s="56">
        <v>13</v>
      </c>
      <c r="F100" s="56" t="s">
        <v>276</v>
      </c>
      <c r="G100" s="56" t="s">
        <v>67</v>
      </c>
      <c r="H100" s="56" t="s">
        <v>1441</v>
      </c>
      <c r="I100" s="54" t="s">
        <v>806</v>
      </c>
      <c r="J100" s="54" t="s">
        <v>807</v>
      </c>
      <c r="K100" s="54" t="s">
        <v>108</v>
      </c>
      <c r="L100" s="54" t="s">
        <v>109</v>
      </c>
      <c r="M100" s="54" t="s">
        <v>110</v>
      </c>
      <c r="N100" s="54" t="s">
        <v>111</v>
      </c>
      <c r="O100" s="56"/>
    </row>
    <row r="101" spans="1:15" hidden="1">
      <c r="A101" s="115">
        <v>100</v>
      </c>
      <c r="B101" s="56" t="s">
        <v>25</v>
      </c>
      <c r="C101" s="85" t="s">
        <v>782</v>
      </c>
      <c r="D101" s="56" t="s">
        <v>783</v>
      </c>
      <c r="E101" s="56">
        <v>28</v>
      </c>
      <c r="F101" s="56" t="s">
        <v>402</v>
      </c>
      <c r="G101" s="56" t="s">
        <v>67</v>
      </c>
      <c r="H101" s="56" t="s">
        <v>1440</v>
      </c>
      <c r="I101" s="56"/>
      <c r="K101" t="s">
        <v>1365</v>
      </c>
      <c r="N101" s="54" t="s">
        <v>12</v>
      </c>
      <c r="O101" s="56"/>
    </row>
    <row r="102" spans="1:15">
      <c r="A102" s="108">
        <v>101</v>
      </c>
      <c r="B102" s="56" t="s">
        <v>25</v>
      </c>
      <c r="C102" s="85" t="s">
        <v>1442</v>
      </c>
      <c r="D102" s="56" t="s">
        <v>1443</v>
      </c>
      <c r="E102" s="56">
        <v>25</v>
      </c>
      <c r="F102" s="56" t="s">
        <v>226</v>
      </c>
      <c r="G102" s="56" t="s">
        <v>67</v>
      </c>
      <c r="H102" s="56" t="s">
        <v>1441</v>
      </c>
      <c r="I102" s="56"/>
      <c r="K102" t="s">
        <v>186</v>
      </c>
      <c r="L102" t="s">
        <v>187</v>
      </c>
      <c r="N102" t="s">
        <v>188</v>
      </c>
      <c r="O102" s="56"/>
    </row>
    <row r="103" spans="1:15">
      <c r="A103" s="115">
        <v>102</v>
      </c>
      <c r="B103" s="56" t="s">
        <v>25</v>
      </c>
      <c r="C103" s="85" t="s">
        <v>773</v>
      </c>
      <c r="D103" s="56" t="s">
        <v>774</v>
      </c>
      <c r="E103" s="56">
        <v>5</v>
      </c>
      <c r="F103" s="56" t="s">
        <v>276</v>
      </c>
      <c r="G103" s="56" t="s">
        <v>67</v>
      </c>
      <c r="H103" s="56" t="s">
        <v>1440</v>
      </c>
      <c r="I103" s="56"/>
      <c r="K103" t="s">
        <v>1313</v>
      </c>
      <c r="L103" t="s">
        <v>1313</v>
      </c>
      <c r="N103" s="54" t="s">
        <v>16</v>
      </c>
      <c r="O103" s="56"/>
    </row>
    <row r="104" spans="1:15">
      <c r="A104" s="115">
        <v>103</v>
      </c>
      <c r="B104" s="56" t="s">
        <v>25</v>
      </c>
      <c r="C104" s="85" t="s">
        <v>1444</v>
      </c>
      <c r="D104" s="56" t="s">
        <v>1445</v>
      </c>
      <c r="E104" s="56">
        <v>5</v>
      </c>
      <c r="F104" s="56" t="s">
        <v>1446</v>
      </c>
      <c r="G104" s="56" t="s">
        <v>67</v>
      </c>
      <c r="H104" s="56" t="s">
        <v>1441</v>
      </c>
      <c r="I104" s="56"/>
      <c r="K104" t="s">
        <v>1313</v>
      </c>
      <c r="L104" t="s">
        <v>1313</v>
      </c>
      <c r="N104" s="54" t="s">
        <v>16</v>
      </c>
      <c r="O104" s="56"/>
    </row>
    <row r="105" spans="1:15">
      <c r="A105" s="108">
        <v>104</v>
      </c>
      <c r="B105" s="56" t="s">
        <v>25</v>
      </c>
      <c r="C105" s="85" t="s">
        <v>795</v>
      </c>
      <c r="D105" s="56" t="s">
        <v>796</v>
      </c>
      <c r="E105" s="56">
        <v>12</v>
      </c>
      <c r="F105" s="56" t="s">
        <v>231</v>
      </c>
      <c r="G105" s="56" t="s">
        <v>67</v>
      </c>
      <c r="H105" s="56" t="s">
        <v>1441</v>
      </c>
      <c r="I105" s="56"/>
      <c r="K105" t="s">
        <v>1321</v>
      </c>
      <c r="N105" s="54" t="s">
        <v>122</v>
      </c>
      <c r="O105" s="56"/>
    </row>
    <row r="106" spans="1:15">
      <c r="A106" s="108">
        <v>105</v>
      </c>
      <c r="B106" s="56" t="s">
        <v>25</v>
      </c>
      <c r="C106" s="85" t="s">
        <v>775</v>
      </c>
      <c r="D106" s="56" t="s">
        <v>776</v>
      </c>
      <c r="E106" s="56">
        <v>9</v>
      </c>
      <c r="F106" s="56" t="s">
        <v>777</v>
      </c>
      <c r="G106" s="56" t="s">
        <v>67</v>
      </c>
      <c r="H106" s="56" t="s">
        <v>1441</v>
      </c>
      <c r="I106" s="56"/>
      <c r="K106" t="s">
        <v>1313</v>
      </c>
      <c r="L106" t="s">
        <v>1313</v>
      </c>
      <c r="N106" s="54" t="s">
        <v>16</v>
      </c>
      <c r="O106" s="56"/>
    </row>
    <row r="107" spans="1:15">
      <c r="A107" s="115">
        <v>106</v>
      </c>
      <c r="B107" s="56" t="s">
        <v>25</v>
      </c>
      <c r="C107" s="85" t="s">
        <v>778</v>
      </c>
      <c r="D107" s="56" t="s">
        <v>779</v>
      </c>
      <c r="E107" s="56">
        <v>8</v>
      </c>
      <c r="F107" s="56" t="s">
        <v>276</v>
      </c>
      <c r="G107" s="56" t="s">
        <v>67</v>
      </c>
      <c r="H107" s="56" t="s">
        <v>1440</v>
      </c>
      <c r="I107" s="56"/>
      <c r="K107" t="s">
        <v>1313</v>
      </c>
      <c r="L107" t="s">
        <v>1313</v>
      </c>
      <c r="N107" s="54" t="s">
        <v>16</v>
      </c>
      <c r="O107" s="56"/>
    </row>
    <row r="108" spans="1:15" hidden="1">
      <c r="A108" s="115">
        <v>107</v>
      </c>
      <c r="B108" s="56" t="s">
        <v>25</v>
      </c>
      <c r="C108" s="85" t="s">
        <v>1447</v>
      </c>
      <c r="D108" s="56" t="s">
        <v>1448</v>
      </c>
      <c r="E108" s="56">
        <v>12</v>
      </c>
      <c r="F108" s="56" t="s">
        <v>1449</v>
      </c>
      <c r="G108" s="56" t="s">
        <v>67</v>
      </c>
      <c r="H108" s="56" t="s">
        <v>1440</v>
      </c>
      <c r="I108" s="56"/>
      <c r="K108" t="s">
        <v>1365</v>
      </c>
      <c r="N108" t="s">
        <v>12</v>
      </c>
      <c r="O108" s="56"/>
    </row>
    <row r="109" spans="1:15">
      <c r="A109" s="108">
        <v>108</v>
      </c>
      <c r="B109" s="56" t="s">
        <v>25</v>
      </c>
      <c r="C109" s="85" t="s">
        <v>797</v>
      </c>
      <c r="D109" s="56" t="s">
        <v>798</v>
      </c>
      <c r="E109" s="56">
        <v>12</v>
      </c>
      <c r="F109" s="56" t="s">
        <v>226</v>
      </c>
      <c r="G109" s="56" t="s">
        <v>67</v>
      </c>
      <c r="H109" s="56" t="s">
        <v>1441</v>
      </c>
      <c r="I109" s="56"/>
      <c r="K109" t="s">
        <v>1321</v>
      </c>
      <c r="N109" s="54" t="s">
        <v>122</v>
      </c>
      <c r="O109" s="56"/>
    </row>
    <row r="110" spans="1:15">
      <c r="A110" s="108">
        <v>109</v>
      </c>
      <c r="B110" s="56" t="s">
        <v>25</v>
      </c>
      <c r="C110" s="85" t="s">
        <v>780</v>
      </c>
      <c r="D110" s="56" t="s">
        <v>781</v>
      </c>
      <c r="E110" s="56">
        <v>15</v>
      </c>
      <c r="F110" s="56" t="s">
        <v>276</v>
      </c>
      <c r="G110" s="56" t="s">
        <v>67</v>
      </c>
      <c r="H110" s="56" t="s">
        <v>1440</v>
      </c>
      <c r="I110" s="56"/>
      <c r="K110" t="s">
        <v>1313</v>
      </c>
      <c r="L110" t="s">
        <v>1313</v>
      </c>
      <c r="N110" s="54" t="s">
        <v>16</v>
      </c>
      <c r="O110" s="56"/>
    </row>
    <row r="111" spans="1:15">
      <c r="A111" s="115">
        <v>110</v>
      </c>
      <c r="B111" s="56" t="s">
        <v>25</v>
      </c>
      <c r="C111" s="85" t="s">
        <v>799</v>
      </c>
      <c r="D111" s="56" t="s">
        <v>800</v>
      </c>
      <c r="E111" s="56">
        <v>18</v>
      </c>
      <c r="F111" s="56" t="s">
        <v>226</v>
      </c>
      <c r="G111" s="56" t="s">
        <v>67</v>
      </c>
      <c r="H111" s="56" t="s">
        <v>1441</v>
      </c>
      <c r="I111" s="56"/>
      <c r="K111" t="s">
        <v>1321</v>
      </c>
      <c r="N111" s="54" t="s">
        <v>122</v>
      </c>
      <c r="O111" s="56"/>
    </row>
    <row r="112" spans="1:15">
      <c r="A112" s="108">
        <v>111</v>
      </c>
      <c r="B112" s="56" t="s">
        <v>25</v>
      </c>
      <c r="C112" s="85" t="s">
        <v>784</v>
      </c>
      <c r="D112" s="56" t="s">
        <v>785</v>
      </c>
      <c r="E112" s="56">
        <v>9</v>
      </c>
      <c r="F112" s="56" t="s">
        <v>226</v>
      </c>
      <c r="G112" s="56" t="s">
        <v>67</v>
      </c>
      <c r="H112" s="56" t="s">
        <v>1441</v>
      </c>
      <c r="I112" s="54" t="s">
        <v>786</v>
      </c>
      <c r="J112" s="54" t="s">
        <v>624</v>
      </c>
      <c r="K112" s="54" t="s">
        <v>108</v>
      </c>
      <c r="L112" s="54" t="s">
        <v>109</v>
      </c>
      <c r="M112" s="54" t="s">
        <v>110</v>
      </c>
      <c r="N112" s="54" t="s">
        <v>111</v>
      </c>
      <c r="O112" s="56"/>
    </row>
    <row r="113" spans="1:15">
      <c r="A113" s="115">
        <v>112</v>
      </c>
      <c r="B113" s="56" t="s">
        <v>25</v>
      </c>
      <c r="C113" s="85" t="s">
        <v>1450</v>
      </c>
      <c r="D113" s="56" t="s">
        <v>1451</v>
      </c>
      <c r="E113" s="56">
        <v>7</v>
      </c>
      <c r="F113" s="56" t="s">
        <v>276</v>
      </c>
      <c r="G113" s="56" t="s">
        <v>67</v>
      </c>
      <c r="H113" s="56" t="s">
        <v>1440</v>
      </c>
      <c r="I113" s="56"/>
      <c r="K113" t="s">
        <v>1321</v>
      </c>
      <c r="N113" s="54" t="s">
        <v>122</v>
      </c>
      <c r="O113" s="56"/>
    </row>
    <row r="114" spans="1:15">
      <c r="A114" s="115">
        <v>113</v>
      </c>
      <c r="B114" s="56" t="s">
        <v>25</v>
      </c>
      <c r="C114" s="85" t="s">
        <v>812</v>
      </c>
      <c r="D114" s="56" t="s">
        <v>813</v>
      </c>
      <c r="E114" s="56">
        <v>18</v>
      </c>
      <c r="F114" s="56" t="s">
        <v>231</v>
      </c>
      <c r="G114" s="56" t="s">
        <v>67</v>
      </c>
      <c r="H114" s="56" t="s">
        <v>1440</v>
      </c>
      <c r="I114" s="54" t="s">
        <v>148</v>
      </c>
      <c r="J114" s="54" t="s">
        <v>814</v>
      </c>
      <c r="K114" s="54" t="s">
        <v>135</v>
      </c>
      <c r="L114" s="54" t="s">
        <v>136</v>
      </c>
      <c r="M114" s="54" t="s">
        <v>150</v>
      </c>
      <c r="N114" s="54" t="s">
        <v>117</v>
      </c>
      <c r="O114" s="56"/>
    </row>
    <row r="115" spans="1:15">
      <c r="A115" s="108">
        <v>114</v>
      </c>
      <c r="B115" s="56" t="s">
        <v>25</v>
      </c>
      <c r="C115" s="85" t="s">
        <v>787</v>
      </c>
      <c r="D115" s="56" t="s">
        <v>788</v>
      </c>
      <c r="E115" s="56">
        <v>14</v>
      </c>
      <c r="F115" s="56" t="s">
        <v>276</v>
      </c>
      <c r="G115" s="56" t="s">
        <v>67</v>
      </c>
      <c r="H115" s="56" t="s">
        <v>1440</v>
      </c>
      <c r="I115" s="56"/>
      <c r="K115" t="s">
        <v>1313</v>
      </c>
      <c r="L115" t="s">
        <v>1313</v>
      </c>
      <c r="N115" s="54" t="s">
        <v>16</v>
      </c>
      <c r="O115" s="56"/>
    </row>
    <row r="116" spans="1:15">
      <c r="A116" s="108">
        <v>115</v>
      </c>
      <c r="B116" s="56" t="s">
        <v>25</v>
      </c>
      <c r="C116" s="85" t="s">
        <v>789</v>
      </c>
      <c r="D116" s="56" t="s">
        <v>790</v>
      </c>
      <c r="E116" s="56">
        <v>7</v>
      </c>
      <c r="F116" s="56" t="s">
        <v>231</v>
      </c>
      <c r="G116" s="56" t="s">
        <v>67</v>
      </c>
      <c r="H116" s="56" t="s">
        <v>1440</v>
      </c>
      <c r="I116" s="56"/>
      <c r="K116" t="s">
        <v>1313</v>
      </c>
      <c r="L116" t="s">
        <v>1313</v>
      </c>
      <c r="N116" s="54" t="s">
        <v>16</v>
      </c>
      <c r="O116" s="56"/>
    </row>
    <row r="117" spans="1:15">
      <c r="A117" s="115">
        <v>116</v>
      </c>
      <c r="B117" s="56" t="s">
        <v>25</v>
      </c>
      <c r="C117" s="85" t="s">
        <v>791</v>
      </c>
      <c r="D117" s="56" t="s">
        <v>792</v>
      </c>
      <c r="E117" s="56">
        <v>12</v>
      </c>
      <c r="F117" s="56" t="s">
        <v>697</v>
      </c>
      <c r="G117" s="56" t="s">
        <v>67</v>
      </c>
      <c r="H117" s="56" t="s">
        <v>1441</v>
      </c>
      <c r="I117" s="56"/>
      <c r="K117" t="s">
        <v>1313</v>
      </c>
      <c r="L117" t="s">
        <v>1313</v>
      </c>
      <c r="N117" s="54" t="s">
        <v>16</v>
      </c>
      <c r="O117" s="56"/>
    </row>
    <row r="118" spans="1:15">
      <c r="A118" s="115">
        <v>117</v>
      </c>
      <c r="B118" s="56" t="s">
        <v>25</v>
      </c>
      <c r="C118" s="85" t="s">
        <v>1452</v>
      </c>
      <c r="D118" s="56" t="s">
        <v>1453</v>
      </c>
      <c r="E118" s="56">
        <v>8</v>
      </c>
      <c r="F118" s="56" t="s">
        <v>1446</v>
      </c>
      <c r="G118" s="56" t="s">
        <v>67</v>
      </c>
      <c r="H118" s="56" t="s">
        <v>1441</v>
      </c>
      <c r="I118" s="56"/>
      <c r="K118" t="s">
        <v>1313</v>
      </c>
      <c r="L118" t="s">
        <v>1313</v>
      </c>
      <c r="N118" t="s">
        <v>16</v>
      </c>
      <c r="O118" s="56"/>
    </row>
    <row r="119" spans="1:15">
      <c r="A119" s="108">
        <v>118</v>
      </c>
      <c r="B119" s="56" t="s">
        <v>25</v>
      </c>
      <c r="C119" s="85" t="s">
        <v>1454</v>
      </c>
      <c r="D119" s="56" t="s">
        <v>1455</v>
      </c>
      <c r="E119" s="56">
        <v>25</v>
      </c>
      <c r="F119" s="56" t="s">
        <v>226</v>
      </c>
      <c r="G119" s="56" t="s">
        <v>67</v>
      </c>
      <c r="H119" s="56" t="s">
        <v>1441</v>
      </c>
      <c r="I119" s="56" t="s">
        <v>1456</v>
      </c>
      <c r="J119" t="s">
        <v>814</v>
      </c>
      <c r="K119" s="54" t="s">
        <v>135</v>
      </c>
      <c r="L119" s="54" t="s">
        <v>136</v>
      </c>
      <c r="M119" s="54" t="s">
        <v>150</v>
      </c>
      <c r="N119" s="54" t="s">
        <v>117</v>
      </c>
      <c r="O119" s="56"/>
    </row>
    <row r="120" spans="1:15">
      <c r="A120" s="108">
        <v>119</v>
      </c>
      <c r="B120" s="56" t="s">
        <v>25</v>
      </c>
      <c r="C120" s="85" t="s">
        <v>1457</v>
      </c>
      <c r="D120" s="56" t="s">
        <v>1458</v>
      </c>
      <c r="E120" s="56">
        <v>14</v>
      </c>
      <c r="F120" s="56" t="s">
        <v>1459</v>
      </c>
      <c r="G120" s="56" t="s">
        <v>67</v>
      </c>
      <c r="H120" s="56" t="s">
        <v>1440</v>
      </c>
      <c r="I120" s="56"/>
      <c r="K120" t="s">
        <v>186</v>
      </c>
      <c r="L120" t="s">
        <v>187</v>
      </c>
      <c r="N120" t="s">
        <v>188</v>
      </c>
      <c r="O120" s="56"/>
    </row>
    <row r="121" spans="1:15">
      <c r="A121" s="115">
        <v>120</v>
      </c>
      <c r="B121" s="56" t="s">
        <v>25</v>
      </c>
      <c r="C121" s="85" t="s">
        <v>1460</v>
      </c>
      <c r="D121" s="56" t="s">
        <v>1461</v>
      </c>
      <c r="E121" s="56">
        <v>13</v>
      </c>
      <c r="F121" s="56" t="s">
        <v>1462</v>
      </c>
      <c r="G121" s="56" t="s">
        <v>67</v>
      </c>
      <c r="H121" s="56" t="s">
        <v>1440</v>
      </c>
      <c r="I121" s="56"/>
      <c r="K121" t="s">
        <v>186</v>
      </c>
      <c r="L121" t="s">
        <v>187</v>
      </c>
      <c r="N121" t="s">
        <v>188</v>
      </c>
      <c r="O121" s="56"/>
    </row>
    <row r="122" spans="1:15">
      <c r="A122" s="108">
        <v>121</v>
      </c>
      <c r="B122" s="56" t="s">
        <v>25</v>
      </c>
      <c r="C122" s="85" t="s">
        <v>793</v>
      </c>
      <c r="D122" s="56" t="s">
        <v>794</v>
      </c>
      <c r="E122" s="56">
        <v>14</v>
      </c>
      <c r="F122" s="56" t="s">
        <v>226</v>
      </c>
      <c r="G122" s="56" t="s">
        <v>67</v>
      </c>
      <c r="H122" s="56" t="s">
        <v>1441</v>
      </c>
      <c r="I122" s="56"/>
      <c r="K122" t="s">
        <v>1313</v>
      </c>
      <c r="L122" t="s">
        <v>1313</v>
      </c>
      <c r="N122" s="54" t="s">
        <v>16</v>
      </c>
      <c r="O122" s="56"/>
    </row>
    <row r="123" spans="1:15">
      <c r="A123" s="115">
        <v>122</v>
      </c>
      <c r="B123" s="56" t="s">
        <v>25</v>
      </c>
      <c r="C123" s="85" t="s">
        <v>815</v>
      </c>
      <c r="D123" s="56" t="s">
        <v>816</v>
      </c>
      <c r="E123" s="56">
        <v>7</v>
      </c>
      <c r="F123" s="56" t="s">
        <v>817</v>
      </c>
      <c r="G123" s="56" t="s">
        <v>67</v>
      </c>
      <c r="H123" s="56" t="s">
        <v>1440</v>
      </c>
      <c r="I123" s="54" t="s">
        <v>818</v>
      </c>
      <c r="J123" s="54" t="s">
        <v>237</v>
      </c>
      <c r="K123" s="54" t="s">
        <v>108</v>
      </c>
      <c r="L123" s="54" t="s">
        <v>135</v>
      </c>
      <c r="M123" s="54" t="s">
        <v>136</v>
      </c>
      <c r="N123" s="54" t="s">
        <v>117</v>
      </c>
      <c r="O123" s="56"/>
    </row>
    <row r="124" spans="1:15">
      <c r="A124" s="115">
        <v>123</v>
      </c>
      <c r="B124" s="56" t="s">
        <v>25</v>
      </c>
      <c r="C124" s="85" t="s">
        <v>801</v>
      </c>
      <c r="D124" s="56" t="s">
        <v>802</v>
      </c>
      <c r="E124" s="56">
        <v>12</v>
      </c>
      <c r="F124" s="56" t="s">
        <v>226</v>
      </c>
      <c r="G124" s="56" t="s">
        <v>67</v>
      </c>
      <c r="H124" s="56" t="s">
        <v>1441</v>
      </c>
      <c r="I124" s="54" t="s">
        <v>416</v>
      </c>
      <c r="J124" s="54" t="s">
        <v>803</v>
      </c>
      <c r="K124" s="61" t="s">
        <v>108</v>
      </c>
      <c r="L124" s="61" t="s">
        <v>135</v>
      </c>
      <c r="M124" s="61" t="s">
        <v>136</v>
      </c>
      <c r="N124" s="56" t="s">
        <v>117</v>
      </c>
      <c r="O124" s="56"/>
    </row>
    <row r="125" spans="1:15">
      <c r="A125" s="108">
        <v>124</v>
      </c>
      <c r="B125" s="56" t="s">
        <v>25</v>
      </c>
      <c r="C125" s="85" t="s">
        <v>1463</v>
      </c>
      <c r="D125" s="56" t="s">
        <v>1464</v>
      </c>
      <c r="E125" s="56">
        <v>25</v>
      </c>
      <c r="F125" s="56" t="s">
        <v>276</v>
      </c>
      <c r="G125" s="56" t="s">
        <v>67</v>
      </c>
      <c r="H125" s="56" t="s">
        <v>1441</v>
      </c>
      <c r="K125" t="s">
        <v>186</v>
      </c>
      <c r="L125" t="s">
        <v>187</v>
      </c>
      <c r="N125" t="s">
        <v>188</v>
      </c>
      <c r="O125" s="56"/>
    </row>
    <row r="126" spans="1:15">
      <c r="A126" s="108">
        <v>125</v>
      </c>
      <c r="B126" s="56" t="s">
        <v>25</v>
      </c>
      <c r="C126" s="86" t="s">
        <v>830</v>
      </c>
      <c r="D126" s="56" t="s">
        <v>831</v>
      </c>
      <c r="E126" s="56">
        <v>11</v>
      </c>
      <c r="F126" s="56" t="s">
        <v>276</v>
      </c>
      <c r="G126" s="56" t="s">
        <v>68</v>
      </c>
      <c r="H126" s="56" t="s">
        <v>1465</v>
      </c>
      <c r="I126" s="54" t="s">
        <v>832</v>
      </c>
      <c r="J126" s="54" t="s">
        <v>833</v>
      </c>
      <c r="K126" s="54" t="s">
        <v>108</v>
      </c>
      <c r="L126" s="54" t="s">
        <v>135</v>
      </c>
      <c r="M126" s="54" t="s">
        <v>136</v>
      </c>
      <c r="N126" s="54" t="s">
        <v>117</v>
      </c>
      <c r="O126" s="56"/>
    </row>
    <row r="127" spans="1:15">
      <c r="A127" s="115">
        <v>126</v>
      </c>
      <c r="B127" s="56" t="s">
        <v>25</v>
      </c>
      <c r="C127" s="86" t="s">
        <v>824</v>
      </c>
      <c r="D127" s="56" t="s">
        <v>825</v>
      </c>
      <c r="E127" s="56">
        <v>16</v>
      </c>
      <c r="F127" s="56" t="s">
        <v>226</v>
      </c>
      <c r="G127" s="56" t="s">
        <v>68</v>
      </c>
      <c r="H127" s="56" t="s">
        <v>1465</v>
      </c>
      <c r="I127" s="56"/>
      <c r="J127" s="55"/>
      <c r="K127" s="54" t="s">
        <v>186</v>
      </c>
      <c r="L127" t="s">
        <v>187</v>
      </c>
      <c r="M127" s="54"/>
      <c r="N127" s="54" t="s">
        <v>188</v>
      </c>
      <c r="O127" s="56"/>
    </row>
    <row r="128" spans="1:15">
      <c r="A128" s="115">
        <v>127</v>
      </c>
      <c r="B128" s="56" t="s">
        <v>25</v>
      </c>
      <c r="C128" s="86" t="s">
        <v>819</v>
      </c>
      <c r="D128" s="56" t="s">
        <v>820</v>
      </c>
      <c r="E128" s="56">
        <v>13</v>
      </c>
      <c r="F128" s="56" t="s">
        <v>402</v>
      </c>
      <c r="G128" s="56" t="s">
        <v>68</v>
      </c>
      <c r="H128" s="56" t="s">
        <v>1465</v>
      </c>
      <c r="I128" s="54" t="s">
        <v>821</v>
      </c>
      <c r="J128" s="54" t="s">
        <v>397</v>
      </c>
      <c r="K128" s="54" t="s">
        <v>135</v>
      </c>
      <c r="L128" s="54" t="s">
        <v>136</v>
      </c>
      <c r="M128" s="54" t="s">
        <v>150</v>
      </c>
      <c r="N128" s="54" t="s">
        <v>111</v>
      </c>
      <c r="O128" s="56"/>
    </row>
    <row r="129" spans="1:15">
      <c r="A129" s="108">
        <v>128</v>
      </c>
      <c r="B129" s="56" t="s">
        <v>25</v>
      </c>
      <c r="C129" s="86" t="s">
        <v>834</v>
      </c>
      <c r="D129" s="56" t="s">
        <v>835</v>
      </c>
      <c r="E129" s="56">
        <v>8</v>
      </c>
      <c r="F129" s="56" t="s">
        <v>276</v>
      </c>
      <c r="G129" s="56" t="s">
        <v>68</v>
      </c>
      <c r="H129" s="56" t="s">
        <v>1465</v>
      </c>
      <c r="I129" s="54" t="s">
        <v>836</v>
      </c>
      <c r="J129" s="54" t="s">
        <v>837</v>
      </c>
      <c r="K129" s="54" t="s">
        <v>108</v>
      </c>
      <c r="L129" s="54" t="s">
        <v>135</v>
      </c>
      <c r="M129" s="54" t="s">
        <v>136</v>
      </c>
      <c r="N129" s="54" t="s">
        <v>117</v>
      </c>
      <c r="O129" s="56"/>
    </row>
    <row r="130" spans="1:15">
      <c r="A130" s="108">
        <v>129</v>
      </c>
      <c r="B130" s="56" t="s">
        <v>25</v>
      </c>
      <c r="C130" s="86" t="s">
        <v>838</v>
      </c>
      <c r="D130" s="56" t="s">
        <v>839</v>
      </c>
      <c r="E130" s="56">
        <v>13</v>
      </c>
      <c r="F130" s="56" t="s">
        <v>840</v>
      </c>
      <c r="G130" s="56" t="s">
        <v>68</v>
      </c>
      <c r="H130" s="56" t="s">
        <v>1465</v>
      </c>
      <c r="I130" s="54" t="s">
        <v>841</v>
      </c>
      <c r="J130" s="54" t="s">
        <v>842</v>
      </c>
      <c r="K130" s="54" t="s">
        <v>135</v>
      </c>
      <c r="L130" s="54" t="s">
        <v>136</v>
      </c>
      <c r="M130" s="54" t="s">
        <v>150</v>
      </c>
      <c r="N130" s="54" t="s">
        <v>293</v>
      </c>
      <c r="O130" s="56"/>
    </row>
    <row r="131" spans="1:15">
      <c r="A131" s="115">
        <v>130</v>
      </c>
      <c r="B131" s="56" t="s">
        <v>25</v>
      </c>
      <c r="C131" s="86" t="s">
        <v>826</v>
      </c>
      <c r="D131" s="56" t="s">
        <v>827</v>
      </c>
      <c r="E131" s="56">
        <v>20</v>
      </c>
      <c r="F131" s="56" t="s">
        <v>276</v>
      </c>
      <c r="G131" s="56" t="s">
        <v>68</v>
      </c>
      <c r="H131" s="56" t="s">
        <v>1465</v>
      </c>
      <c r="I131" s="54" t="s">
        <v>828</v>
      </c>
      <c r="J131" s="54" t="s">
        <v>829</v>
      </c>
      <c r="K131" s="54" t="s">
        <v>186</v>
      </c>
      <c r="L131" t="s">
        <v>187</v>
      </c>
      <c r="M131" s="54"/>
      <c r="N131" s="54" t="s">
        <v>188</v>
      </c>
      <c r="O131" s="56"/>
    </row>
    <row r="132" spans="1:15">
      <c r="A132" s="108">
        <v>131</v>
      </c>
      <c r="B132" s="56" t="s">
        <v>25</v>
      </c>
      <c r="C132" s="86" t="s">
        <v>822</v>
      </c>
      <c r="D132" s="56" t="s">
        <v>823</v>
      </c>
      <c r="E132" s="56">
        <v>24</v>
      </c>
      <c r="F132" s="56" t="s">
        <v>226</v>
      </c>
      <c r="G132" s="56" t="s">
        <v>68</v>
      </c>
      <c r="H132" s="56" t="s">
        <v>1465</v>
      </c>
      <c r="I132" s="56"/>
      <c r="J132" s="55"/>
      <c r="K132" t="s">
        <v>1313</v>
      </c>
      <c r="L132" t="s">
        <v>1313</v>
      </c>
      <c r="M132" s="55"/>
      <c r="N132" s="54" t="s">
        <v>16</v>
      </c>
      <c r="O132" s="56"/>
    </row>
    <row r="133" spans="1:15">
      <c r="A133" s="115">
        <v>132</v>
      </c>
      <c r="B133" s="56" t="s">
        <v>25</v>
      </c>
      <c r="C133" s="86" t="s">
        <v>843</v>
      </c>
      <c r="D133" s="56" t="s">
        <v>844</v>
      </c>
      <c r="E133" s="56">
        <v>32</v>
      </c>
      <c r="F133" s="56" t="s">
        <v>276</v>
      </c>
      <c r="G133" s="56" t="s">
        <v>68</v>
      </c>
      <c r="H133" s="56" t="s">
        <v>1465</v>
      </c>
      <c r="I133" s="54" t="s">
        <v>280</v>
      </c>
      <c r="J133" s="54" t="s">
        <v>845</v>
      </c>
      <c r="K133" s="54" t="s">
        <v>846</v>
      </c>
      <c r="L133" s="54" t="s">
        <v>136</v>
      </c>
      <c r="M133" s="54" t="s">
        <v>200</v>
      </c>
      <c r="N133" s="54" t="s">
        <v>117</v>
      </c>
      <c r="O133" s="56"/>
    </row>
    <row r="134" spans="1:15">
      <c r="A134" s="115">
        <v>133</v>
      </c>
      <c r="B134" s="56" t="s">
        <v>25</v>
      </c>
      <c r="C134" s="85" t="s">
        <v>636</v>
      </c>
      <c r="D134" s="56" t="s">
        <v>637</v>
      </c>
      <c r="E134" s="56">
        <v>16</v>
      </c>
      <c r="F134" s="56" t="s">
        <v>247</v>
      </c>
      <c r="G134" s="56" t="s">
        <v>61</v>
      </c>
      <c r="H134" s="56" t="s">
        <v>1466</v>
      </c>
      <c r="I134" s="54" t="s">
        <v>638</v>
      </c>
      <c r="J134" s="54" t="s">
        <v>639</v>
      </c>
      <c r="K134" s="82" t="s">
        <v>136</v>
      </c>
      <c r="L134" s="67" t="s">
        <v>315</v>
      </c>
      <c r="M134" s="67" t="s">
        <v>635</v>
      </c>
      <c r="N134" s="54" t="s">
        <v>111</v>
      </c>
      <c r="O134" s="56"/>
    </row>
    <row r="135" spans="1:15">
      <c r="A135" s="108">
        <v>134</v>
      </c>
      <c r="B135" s="56" t="s">
        <v>25</v>
      </c>
      <c r="C135" s="85" t="s">
        <v>621</v>
      </c>
      <c r="D135" s="56" t="s">
        <v>622</v>
      </c>
      <c r="E135" s="56">
        <v>8</v>
      </c>
      <c r="F135" s="56" t="s">
        <v>247</v>
      </c>
      <c r="G135" s="56" t="s">
        <v>61</v>
      </c>
      <c r="H135" s="56" t="s">
        <v>1466</v>
      </c>
      <c r="I135" s="54" t="s">
        <v>623</v>
      </c>
      <c r="J135" s="54" t="s">
        <v>624</v>
      </c>
      <c r="K135" s="54" t="s">
        <v>108</v>
      </c>
      <c r="L135" s="54" t="s">
        <v>135</v>
      </c>
      <c r="M135" s="54" t="s">
        <v>136</v>
      </c>
      <c r="N135" s="54" t="s">
        <v>111</v>
      </c>
      <c r="O135" s="56"/>
    </row>
    <row r="136" spans="1:15">
      <c r="A136" s="108">
        <v>135</v>
      </c>
      <c r="B136" s="56" t="s">
        <v>25</v>
      </c>
      <c r="C136" s="85" t="s">
        <v>640</v>
      </c>
      <c r="D136" s="56" t="s">
        <v>641</v>
      </c>
      <c r="E136" s="56">
        <v>9</v>
      </c>
      <c r="F136" s="56" t="s">
        <v>247</v>
      </c>
      <c r="G136" s="56" t="s">
        <v>61</v>
      </c>
      <c r="H136" s="56" t="s">
        <v>1466</v>
      </c>
      <c r="I136" s="54" t="s">
        <v>642</v>
      </c>
      <c r="J136" s="54" t="s">
        <v>643</v>
      </c>
      <c r="K136" s="54" t="s">
        <v>108</v>
      </c>
      <c r="L136" s="54" t="s">
        <v>135</v>
      </c>
      <c r="M136" s="54" t="s">
        <v>136</v>
      </c>
      <c r="N136" s="54" t="s">
        <v>162</v>
      </c>
    </row>
    <row r="137" spans="1:15">
      <c r="A137" s="115">
        <v>136</v>
      </c>
      <c r="B137" s="56" t="s">
        <v>25</v>
      </c>
      <c r="C137" s="85" t="s">
        <v>625</v>
      </c>
      <c r="D137" s="56" t="s">
        <v>626</v>
      </c>
      <c r="E137" s="56">
        <v>17</v>
      </c>
      <c r="F137" s="56" t="s">
        <v>627</v>
      </c>
      <c r="G137" s="56" t="s">
        <v>61</v>
      </c>
      <c r="H137" s="56" t="s">
        <v>1466</v>
      </c>
      <c r="I137" s="54" t="s">
        <v>628</v>
      </c>
      <c r="J137" s="54" t="s">
        <v>629</v>
      </c>
      <c r="K137" s="54" t="s">
        <v>198</v>
      </c>
      <c r="L137" s="54" t="s">
        <v>135</v>
      </c>
      <c r="M137" s="54" t="s">
        <v>136</v>
      </c>
      <c r="N137" s="54" t="s">
        <v>111</v>
      </c>
    </row>
    <row r="138" spans="1:15">
      <c r="A138" s="115">
        <v>137</v>
      </c>
      <c r="B138" s="56" t="s">
        <v>25</v>
      </c>
      <c r="C138" s="85" t="s">
        <v>630</v>
      </c>
      <c r="D138" s="56" t="s">
        <v>631</v>
      </c>
      <c r="E138" s="56">
        <v>13</v>
      </c>
      <c r="F138" s="56" t="s">
        <v>632</v>
      </c>
      <c r="G138" s="56" t="s">
        <v>61</v>
      </c>
      <c r="H138" s="56" t="s">
        <v>1466</v>
      </c>
      <c r="I138" s="54" t="s">
        <v>633</v>
      </c>
      <c r="J138" s="54" t="s">
        <v>634</v>
      </c>
      <c r="K138" s="54" t="s">
        <v>136</v>
      </c>
      <c r="L138" s="54" t="s">
        <v>200</v>
      </c>
      <c r="M138" s="54" t="s">
        <v>635</v>
      </c>
      <c r="N138" s="54" t="s">
        <v>111</v>
      </c>
    </row>
    <row r="139" spans="1:15">
      <c r="A139" s="108">
        <v>138</v>
      </c>
      <c r="B139" s="56" t="s">
        <v>25</v>
      </c>
      <c r="C139" s="85" t="s">
        <v>619</v>
      </c>
      <c r="D139" s="56" t="s">
        <v>620</v>
      </c>
      <c r="E139" s="56">
        <v>13</v>
      </c>
      <c r="F139" s="56" t="s">
        <v>276</v>
      </c>
      <c r="G139" s="56" t="s">
        <v>61</v>
      </c>
      <c r="H139" s="56" t="s">
        <v>1466</v>
      </c>
      <c r="I139" s="55"/>
      <c r="J139" s="55"/>
      <c r="K139" t="s">
        <v>1313</v>
      </c>
      <c r="L139" t="s">
        <v>1313</v>
      </c>
      <c r="M139" s="54"/>
      <c r="N139" s="54" t="s">
        <v>16</v>
      </c>
    </row>
    <row r="140" spans="1:15">
      <c r="A140" s="108">
        <v>139</v>
      </c>
      <c r="B140" s="56" t="s">
        <v>25</v>
      </c>
      <c r="C140" s="85" t="s">
        <v>644</v>
      </c>
      <c r="D140" s="56" t="s">
        <v>645</v>
      </c>
      <c r="E140" s="56">
        <v>16</v>
      </c>
      <c r="F140" s="56" t="s">
        <v>276</v>
      </c>
      <c r="G140" s="56" t="s">
        <v>61</v>
      </c>
      <c r="H140" s="56" t="s">
        <v>1466</v>
      </c>
      <c r="I140" s="54" t="s">
        <v>646</v>
      </c>
      <c r="J140" s="54" t="s">
        <v>237</v>
      </c>
      <c r="K140" s="54" t="s">
        <v>135</v>
      </c>
      <c r="L140" s="54" t="s">
        <v>136</v>
      </c>
      <c r="M140" s="54" t="s">
        <v>150</v>
      </c>
      <c r="N140" s="54" t="s">
        <v>162</v>
      </c>
    </row>
    <row r="141" spans="1:15">
      <c r="A141" s="115">
        <v>140</v>
      </c>
      <c r="B141" s="56" t="s">
        <v>25</v>
      </c>
      <c r="C141" s="85" t="s">
        <v>685</v>
      </c>
      <c r="D141" s="56" t="s">
        <v>686</v>
      </c>
      <c r="E141" s="56">
        <v>12</v>
      </c>
      <c r="F141" s="56" t="s">
        <v>226</v>
      </c>
      <c r="G141" s="56" t="s">
        <v>64</v>
      </c>
      <c r="H141" s="56" t="s">
        <v>1467</v>
      </c>
      <c r="I141" s="54" t="s">
        <v>687</v>
      </c>
      <c r="J141" s="54" t="s">
        <v>688</v>
      </c>
      <c r="K141" s="54" t="s">
        <v>108</v>
      </c>
      <c r="L141" t="s">
        <v>109</v>
      </c>
      <c r="M141" t="s">
        <v>110</v>
      </c>
      <c r="N141" s="54" t="s">
        <v>162</v>
      </c>
    </row>
    <row r="142" spans="1:15">
      <c r="A142" s="108">
        <v>141</v>
      </c>
      <c r="B142" s="56" t="s">
        <v>25</v>
      </c>
      <c r="C142" s="85" t="s">
        <v>689</v>
      </c>
      <c r="D142" s="56" t="s">
        <v>690</v>
      </c>
      <c r="E142" s="56">
        <v>8</v>
      </c>
      <c r="F142" s="56" t="s">
        <v>226</v>
      </c>
      <c r="G142" s="56" t="s">
        <v>64</v>
      </c>
      <c r="H142" s="56" t="s">
        <v>1467</v>
      </c>
      <c r="I142" s="56" t="s">
        <v>1468</v>
      </c>
      <c r="J142" t="s">
        <v>629</v>
      </c>
      <c r="K142" s="54" t="s">
        <v>198</v>
      </c>
      <c r="L142" s="54" t="s">
        <v>135</v>
      </c>
      <c r="M142" s="54" t="s">
        <v>136</v>
      </c>
      <c r="N142" s="54" t="s">
        <v>111</v>
      </c>
    </row>
    <row r="143" spans="1:15">
      <c r="A143" s="115">
        <v>142</v>
      </c>
      <c r="B143" s="56" t="s">
        <v>25</v>
      </c>
      <c r="C143" s="85" t="s">
        <v>1469</v>
      </c>
      <c r="D143" s="56" t="s">
        <v>1470</v>
      </c>
      <c r="E143" s="56">
        <v>12</v>
      </c>
      <c r="F143" s="56" t="s">
        <v>226</v>
      </c>
      <c r="G143" s="56" t="s">
        <v>64</v>
      </c>
      <c r="H143" s="56" t="s">
        <v>1467</v>
      </c>
      <c r="I143" s="56" t="s">
        <v>1471</v>
      </c>
      <c r="J143" t="s">
        <v>233</v>
      </c>
      <c r="K143" s="54" t="s">
        <v>108</v>
      </c>
      <c r="L143" s="54" t="s">
        <v>135</v>
      </c>
      <c r="M143" s="54" t="s">
        <v>136</v>
      </c>
      <c r="N143" s="54" t="s">
        <v>162</v>
      </c>
    </row>
    <row r="144" spans="1:15">
      <c r="A144" s="115">
        <v>143</v>
      </c>
      <c r="B144" s="56" t="s">
        <v>25</v>
      </c>
      <c r="C144" s="85" t="s">
        <v>691</v>
      </c>
      <c r="D144" s="56" t="s">
        <v>692</v>
      </c>
      <c r="E144" s="56">
        <v>5</v>
      </c>
      <c r="F144" s="56" t="s">
        <v>276</v>
      </c>
      <c r="G144" s="56" t="s">
        <v>64</v>
      </c>
      <c r="H144" s="56" t="s">
        <v>1467</v>
      </c>
      <c r="I144" s="54" t="s">
        <v>693</v>
      </c>
      <c r="J144" s="54" t="s">
        <v>694</v>
      </c>
      <c r="K144" s="54" t="s">
        <v>116</v>
      </c>
      <c r="L144" s="54" t="s">
        <v>109</v>
      </c>
      <c r="M144" s="54" t="s">
        <v>110</v>
      </c>
      <c r="N144" s="54" t="s">
        <v>117</v>
      </c>
    </row>
    <row r="145" spans="1:14">
      <c r="A145" s="108">
        <v>144</v>
      </c>
      <c r="B145" s="56" t="s">
        <v>25</v>
      </c>
      <c r="C145" s="85" t="s">
        <v>695</v>
      </c>
      <c r="D145" s="56" t="s">
        <v>696</v>
      </c>
      <c r="E145" s="56">
        <v>9</v>
      </c>
      <c r="F145" s="56" t="s">
        <v>697</v>
      </c>
      <c r="G145" s="56" t="s">
        <v>64</v>
      </c>
      <c r="H145" s="56" t="s">
        <v>1467</v>
      </c>
      <c r="I145" s="56" t="s">
        <v>277</v>
      </c>
      <c r="J145" t="s">
        <v>629</v>
      </c>
      <c r="K145" s="54" t="s">
        <v>186</v>
      </c>
      <c r="L145" t="s">
        <v>187</v>
      </c>
      <c r="M145" s="54"/>
      <c r="N145" s="54" t="s">
        <v>188</v>
      </c>
    </row>
    <row r="146" spans="1:14">
      <c r="A146" s="108">
        <v>145</v>
      </c>
      <c r="B146" s="56" t="s">
        <v>25</v>
      </c>
      <c r="C146" s="85" t="s">
        <v>698</v>
      </c>
      <c r="D146" s="56" t="s">
        <v>699</v>
      </c>
      <c r="E146" s="56">
        <v>13</v>
      </c>
      <c r="F146" s="56" t="s">
        <v>276</v>
      </c>
      <c r="G146" s="56" t="s">
        <v>64</v>
      </c>
      <c r="H146" s="56" t="s">
        <v>1467</v>
      </c>
      <c r="I146" s="56" t="s">
        <v>1472</v>
      </c>
      <c r="J146" t="s">
        <v>1473</v>
      </c>
      <c r="K146" s="54" t="s">
        <v>136</v>
      </c>
      <c r="L146" s="54" t="s">
        <v>200</v>
      </c>
      <c r="M146" s="54" t="s">
        <v>635</v>
      </c>
      <c r="N146" s="54" t="s">
        <v>111</v>
      </c>
    </row>
    <row r="147" spans="1:14">
      <c r="A147" s="115">
        <v>146</v>
      </c>
      <c r="B147" s="56" t="s">
        <v>25</v>
      </c>
      <c r="C147" s="85" t="s">
        <v>700</v>
      </c>
      <c r="D147" s="56" t="s">
        <v>701</v>
      </c>
      <c r="E147" s="56">
        <v>24</v>
      </c>
      <c r="F147" s="56" t="s">
        <v>276</v>
      </c>
      <c r="G147" s="56" t="s">
        <v>64</v>
      </c>
      <c r="H147" s="56" t="s">
        <v>1467</v>
      </c>
      <c r="I147" s="56"/>
      <c r="K147" t="s">
        <v>1321</v>
      </c>
      <c r="N147" s="54" t="s">
        <v>122</v>
      </c>
    </row>
    <row r="148" spans="1:14">
      <c r="A148" s="115">
        <v>147</v>
      </c>
      <c r="B148" s="56" t="s">
        <v>25</v>
      </c>
      <c r="C148" s="85" t="s">
        <v>702</v>
      </c>
      <c r="D148" s="56" t="s">
        <v>703</v>
      </c>
      <c r="E148" s="56">
        <v>12</v>
      </c>
      <c r="F148" s="56" t="s">
        <v>276</v>
      </c>
      <c r="G148" s="56" t="s">
        <v>64</v>
      </c>
      <c r="H148" s="56" t="s">
        <v>1467</v>
      </c>
      <c r="I148" s="54" t="s">
        <v>704</v>
      </c>
      <c r="J148" s="54" t="s">
        <v>634</v>
      </c>
      <c r="K148" s="54" t="s">
        <v>135</v>
      </c>
      <c r="L148" s="54" t="s">
        <v>136</v>
      </c>
      <c r="M148" s="54" t="s">
        <v>150</v>
      </c>
      <c r="N148" s="54" t="s">
        <v>162</v>
      </c>
    </row>
    <row r="149" spans="1:14">
      <c r="A149" s="108">
        <v>148</v>
      </c>
      <c r="B149" s="56" t="s">
        <v>25</v>
      </c>
      <c r="C149" s="85" t="s">
        <v>705</v>
      </c>
      <c r="D149" s="56" t="s">
        <v>706</v>
      </c>
      <c r="E149" s="56">
        <v>21</v>
      </c>
      <c r="F149" s="56" t="s">
        <v>231</v>
      </c>
      <c r="G149" s="56" t="s">
        <v>64</v>
      </c>
      <c r="H149" s="56" t="s">
        <v>1467</v>
      </c>
      <c r="I149" s="56" t="s">
        <v>1474</v>
      </c>
      <c r="J149" t="s">
        <v>237</v>
      </c>
      <c r="K149" s="54" t="s">
        <v>136</v>
      </c>
      <c r="L149" s="54" t="s">
        <v>200</v>
      </c>
      <c r="M149" s="54" t="s">
        <v>635</v>
      </c>
      <c r="N149" s="54" t="s">
        <v>111</v>
      </c>
    </row>
    <row r="150" spans="1:14">
      <c r="A150" s="108">
        <v>149</v>
      </c>
      <c r="B150" s="56" t="s">
        <v>25</v>
      </c>
      <c r="C150" s="85" t="s">
        <v>707</v>
      </c>
      <c r="D150" s="56" t="s">
        <v>708</v>
      </c>
      <c r="E150" s="56">
        <v>6</v>
      </c>
      <c r="F150" s="56" t="s">
        <v>276</v>
      </c>
      <c r="G150" s="56" t="s">
        <v>64</v>
      </c>
      <c r="H150" s="56" t="s">
        <v>1467</v>
      </c>
      <c r="I150" s="54" t="s">
        <v>709</v>
      </c>
      <c r="J150" s="54" t="s">
        <v>710</v>
      </c>
      <c r="K150" s="54" t="s">
        <v>108</v>
      </c>
      <c r="L150" s="54" t="s">
        <v>109</v>
      </c>
      <c r="M150" s="54" t="s">
        <v>110</v>
      </c>
      <c r="N150" s="54" t="s">
        <v>293</v>
      </c>
    </row>
    <row r="151" spans="1:14" hidden="1">
      <c r="A151" s="115">
        <v>150</v>
      </c>
      <c r="B151" s="56" t="s">
        <v>25</v>
      </c>
      <c r="C151" s="85" t="s">
        <v>711</v>
      </c>
      <c r="D151" s="56" t="s">
        <v>712</v>
      </c>
      <c r="E151" s="56">
        <v>13</v>
      </c>
      <c r="F151" s="56" t="s">
        <v>713</v>
      </c>
      <c r="G151" s="56" t="s">
        <v>64</v>
      </c>
      <c r="H151" s="56" t="s">
        <v>1467</v>
      </c>
      <c r="I151" s="56"/>
      <c r="K151" t="s">
        <v>1365</v>
      </c>
      <c r="N151" s="54" t="s">
        <v>12</v>
      </c>
    </row>
    <row r="152" spans="1:14">
      <c r="A152" s="108">
        <v>151</v>
      </c>
      <c r="B152" s="56" t="s">
        <v>25</v>
      </c>
      <c r="C152" s="85" t="s">
        <v>1475</v>
      </c>
      <c r="D152" s="56" t="s">
        <v>1476</v>
      </c>
      <c r="E152" s="56">
        <v>12</v>
      </c>
      <c r="F152" s="56" t="s">
        <v>276</v>
      </c>
      <c r="G152" s="56" t="s">
        <v>64</v>
      </c>
      <c r="H152" s="56" t="s">
        <v>1467</v>
      </c>
      <c r="I152" s="56" t="s">
        <v>1477</v>
      </c>
      <c r="J152" t="s">
        <v>1478</v>
      </c>
      <c r="K152" s="61" t="s">
        <v>116</v>
      </c>
      <c r="L152" s="61" t="s">
        <v>109</v>
      </c>
      <c r="M152" s="62" t="s">
        <v>110</v>
      </c>
      <c r="N152" s="63" t="s">
        <v>117</v>
      </c>
    </row>
    <row r="153" spans="1:14">
      <c r="A153" s="115">
        <v>152</v>
      </c>
      <c r="B153" s="56" t="s">
        <v>25</v>
      </c>
      <c r="C153" s="85" t="s">
        <v>1479</v>
      </c>
      <c r="D153" s="56" t="s">
        <v>1480</v>
      </c>
      <c r="E153" s="56">
        <v>17</v>
      </c>
      <c r="F153" s="56" t="s">
        <v>247</v>
      </c>
      <c r="G153" s="56" t="s">
        <v>64</v>
      </c>
      <c r="H153" s="56" t="s">
        <v>1467</v>
      </c>
      <c r="I153" s="56"/>
      <c r="K153" t="s">
        <v>1313</v>
      </c>
      <c r="L153" t="s">
        <v>1313</v>
      </c>
      <c r="M153" s="54"/>
      <c r="N153" s="54" t="s">
        <v>16</v>
      </c>
    </row>
    <row r="154" spans="1:14">
      <c r="A154" s="115">
        <v>153</v>
      </c>
      <c r="B154" s="56" t="s">
        <v>25</v>
      </c>
      <c r="C154" s="85" t="s">
        <v>714</v>
      </c>
      <c r="D154" s="56" t="s">
        <v>715</v>
      </c>
      <c r="E154" s="56">
        <v>10</v>
      </c>
      <c r="F154" s="56" t="s">
        <v>276</v>
      </c>
      <c r="G154" s="56" t="s">
        <v>64</v>
      </c>
      <c r="H154" s="56" t="s">
        <v>1467</v>
      </c>
      <c r="I154" s="54" t="s">
        <v>716</v>
      </c>
      <c r="J154" s="54" t="s">
        <v>237</v>
      </c>
      <c r="K154" s="54" t="s">
        <v>136</v>
      </c>
      <c r="L154" s="54" t="s">
        <v>200</v>
      </c>
      <c r="M154" s="54" t="s">
        <v>635</v>
      </c>
      <c r="N154" s="54" t="s">
        <v>111</v>
      </c>
    </row>
    <row r="155" spans="1:14">
      <c r="A155" s="108">
        <v>154</v>
      </c>
      <c r="B155" s="56" t="s">
        <v>25</v>
      </c>
      <c r="C155" s="85" t="s">
        <v>717</v>
      </c>
      <c r="D155" s="56" t="s">
        <v>718</v>
      </c>
      <c r="E155" s="56">
        <v>6</v>
      </c>
      <c r="F155" s="56" t="s">
        <v>276</v>
      </c>
      <c r="G155" s="56" t="s">
        <v>64</v>
      </c>
      <c r="H155" s="56" t="s">
        <v>1467</v>
      </c>
      <c r="I155" s="54" t="s">
        <v>687</v>
      </c>
      <c r="J155" s="54" t="s">
        <v>719</v>
      </c>
      <c r="K155" s="54" t="s">
        <v>108</v>
      </c>
      <c r="L155" s="54" t="s">
        <v>109</v>
      </c>
      <c r="M155" s="54" t="s">
        <v>110</v>
      </c>
      <c r="N155" s="54" t="s">
        <v>117</v>
      </c>
    </row>
    <row r="156" spans="1:14">
      <c r="A156" s="108">
        <v>155</v>
      </c>
      <c r="B156" s="56" t="s">
        <v>25</v>
      </c>
      <c r="C156" s="85" t="s">
        <v>720</v>
      </c>
      <c r="D156" s="56" t="s">
        <v>721</v>
      </c>
      <c r="E156" s="56">
        <v>14</v>
      </c>
      <c r="F156" s="56" t="s">
        <v>276</v>
      </c>
      <c r="G156" s="56" t="s">
        <v>64</v>
      </c>
      <c r="H156" s="56" t="s">
        <v>1467</v>
      </c>
      <c r="I156" s="54" t="s">
        <v>354</v>
      </c>
      <c r="J156" s="54" t="s">
        <v>307</v>
      </c>
      <c r="K156" s="54" t="s">
        <v>108</v>
      </c>
      <c r="L156" s="54" t="s">
        <v>135</v>
      </c>
      <c r="M156" s="54" t="s">
        <v>136</v>
      </c>
      <c r="N156" s="54" t="s">
        <v>117</v>
      </c>
    </row>
    <row r="157" spans="1:14">
      <c r="A157" s="115">
        <v>156</v>
      </c>
      <c r="B157" s="56" t="s">
        <v>25</v>
      </c>
      <c r="C157" s="85" t="s">
        <v>722</v>
      </c>
      <c r="D157" s="56" t="s">
        <v>723</v>
      </c>
      <c r="E157" s="56">
        <v>16</v>
      </c>
      <c r="F157" s="56" t="s">
        <v>276</v>
      </c>
      <c r="G157" s="56" t="s">
        <v>64</v>
      </c>
      <c r="H157" s="56" t="s">
        <v>1467</v>
      </c>
      <c r="I157" s="54" t="s">
        <v>244</v>
      </c>
      <c r="J157" s="54" t="s">
        <v>724</v>
      </c>
      <c r="K157" s="54" t="s">
        <v>135</v>
      </c>
      <c r="L157" s="54" t="s">
        <v>136</v>
      </c>
      <c r="M157" s="54" t="s">
        <v>150</v>
      </c>
      <c r="N157" s="54" t="s">
        <v>111</v>
      </c>
    </row>
    <row r="158" spans="1:14">
      <c r="A158" s="115">
        <v>157</v>
      </c>
      <c r="B158" s="56" t="s">
        <v>25</v>
      </c>
      <c r="C158" s="85" t="s">
        <v>725</v>
      </c>
      <c r="D158" s="56" t="s">
        <v>726</v>
      </c>
      <c r="E158" s="56">
        <v>13</v>
      </c>
      <c r="F158" s="56" t="s">
        <v>231</v>
      </c>
      <c r="G158" s="56" t="s">
        <v>64</v>
      </c>
      <c r="H158" s="56" t="s">
        <v>1467</v>
      </c>
      <c r="I158" s="55"/>
      <c r="J158" s="55"/>
      <c r="K158" t="s">
        <v>1313</v>
      </c>
      <c r="L158" t="s">
        <v>1313</v>
      </c>
      <c r="M158" s="54"/>
      <c r="N158" s="54" t="s">
        <v>16</v>
      </c>
    </row>
    <row r="159" spans="1:14" hidden="1">
      <c r="A159" s="108">
        <v>158</v>
      </c>
      <c r="B159" s="56" t="s">
        <v>25</v>
      </c>
      <c r="C159" s="85" t="s">
        <v>727</v>
      </c>
      <c r="D159" s="56" t="s">
        <v>728</v>
      </c>
      <c r="E159" s="56">
        <v>23</v>
      </c>
      <c r="F159" s="56" t="s">
        <v>276</v>
      </c>
      <c r="G159" s="56" t="s">
        <v>64</v>
      </c>
      <c r="H159" s="56" t="s">
        <v>1467</v>
      </c>
      <c r="I159" s="55"/>
      <c r="J159" s="55"/>
      <c r="K159" s="55" t="s">
        <v>1365</v>
      </c>
      <c r="L159" s="54"/>
      <c r="M159" s="54"/>
      <c r="N159" s="54" t="s">
        <v>12</v>
      </c>
    </row>
    <row r="160" spans="1:14">
      <c r="A160" s="108">
        <v>159</v>
      </c>
      <c r="B160" s="56" t="s">
        <v>25</v>
      </c>
      <c r="C160" s="85" t="s">
        <v>729</v>
      </c>
      <c r="D160" s="56" t="s">
        <v>730</v>
      </c>
      <c r="E160" s="56">
        <v>36</v>
      </c>
      <c r="F160" s="56" t="s">
        <v>731</v>
      </c>
      <c r="G160" s="56" t="s">
        <v>64</v>
      </c>
      <c r="H160" s="56" t="s">
        <v>1467</v>
      </c>
      <c r="I160" s="54" t="s">
        <v>732</v>
      </c>
      <c r="J160" s="54" t="s">
        <v>733</v>
      </c>
      <c r="K160" s="54" t="s">
        <v>136</v>
      </c>
      <c r="L160" s="54" t="s">
        <v>200</v>
      </c>
      <c r="M160" s="54" t="s">
        <v>635</v>
      </c>
      <c r="N160" s="54" t="s">
        <v>111</v>
      </c>
    </row>
    <row r="161" spans="1:14">
      <c r="A161" s="115">
        <v>160</v>
      </c>
      <c r="B161" s="56" t="s">
        <v>25</v>
      </c>
      <c r="C161" s="85" t="s">
        <v>1481</v>
      </c>
      <c r="D161" s="56" t="s">
        <v>1482</v>
      </c>
      <c r="E161" s="56">
        <v>12</v>
      </c>
      <c r="F161" s="56" t="s">
        <v>276</v>
      </c>
      <c r="G161" s="56" t="s">
        <v>64</v>
      </c>
      <c r="H161" s="56" t="s">
        <v>1467</v>
      </c>
      <c r="I161" s="56" t="s">
        <v>211</v>
      </c>
      <c r="J161" t="s">
        <v>664</v>
      </c>
      <c r="K161" s="54" t="s">
        <v>108</v>
      </c>
      <c r="L161" s="54" t="s">
        <v>135</v>
      </c>
      <c r="M161" s="54" t="s">
        <v>136</v>
      </c>
      <c r="N161" s="54" t="s">
        <v>117</v>
      </c>
    </row>
    <row r="162" spans="1:14">
      <c r="A162" s="108">
        <v>161</v>
      </c>
      <c r="B162" s="56" t="s">
        <v>25</v>
      </c>
      <c r="C162" s="85" t="s">
        <v>734</v>
      </c>
      <c r="D162" s="56" t="s">
        <v>735</v>
      </c>
      <c r="E162" s="56">
        <v>10</v>
      </c>
      <c r="F162" s="56" t="s">
        <v>736</v>
      </c>
      <c r="G162" s="56" t="s">
        <v>64</v>
      </c>
      <c r="H162" s="56" t="s">
        <v>1467</v>
      </c>
      <c r="I162" s="54" t="s">
        <v>737</v>
      </c>
      <c r="J162" s="54" t="s">
        <v>107</v>
      </c>
      <c r="K162" s="54" t="s">
        <v>108</v>
      </c>
      <c r="L162" s="54" t="s">
        <v>135</v>
      </c>
      <c r="M162" s="54" t="s">
        <v>136</v>
      </c>
      <c r="N162" s="54" t="s">
        <v>117</v>
      </c>
    </row>
    <row r="163" spans="1:14">
      <c r="A163" s="115">
        <v>162</v>
      </c>
      <c r="B163" s="56" t="s">
        <v>25</v>
      </c>
      <c r="C163" s="85" t="s">
        <v>1002</v>
      </c>
      <c r="D163" s="56" t="s">
        <v>1003</v>
      </c>
      <c r="E163" s="56">
        <v>12</v>
      </c>
      <c r="F163" s="56" t="s">
        <v>231</v>
      </c>
      <c r="G163" s="56" t="s">
        <v>79</v>
      </c>
      <c r="H163" s="56" t="s">
        <v>1483</v>
      </c>
      <c r="I163" s="54" t="s">
        <v>1004</v>
      </c>
      <c r="J163" s="54" t="s">
        <v>1005</v>
      </c>
      <c r="K163" s="54" t="s">
        <v>108</v>
      </c>
      <c r="L163" s="54" t="s">
        <v>135</v>
      </c>
      <c r="M163" s="54" t="s">
        <v>136</v>
      </c>
      <c r="N163" s="54" t="s">
        <v>293</v>
      </c>
    </row>
    <row r="164" spans="1:14">
      <c r="A164" s="115">
        <v>163</v>
      </c>
      <c r="B164" s="56" t="s">
        <v>25</v>
      </c>
      <c r="C164" s="85" t="s">
        <v>1006</v>
      </c>
      <c r="D164" s="56" t="s">
        <v>1007</v>
      </c>
      <c r="E164" s="56">
        <v>16</v>
      </c>
      <c r="F164" s="56" t="s">
        <v>226</v>
      </c>
      <c r="G164" s="56" t="s">
        <v>79</v>
      </c>
      <c r="H164" s="56" t="s">
        <v>1483</v>
      </c>
      <c r="I164" s="56" t="s">
        <v>1484</v>
      </c>
      <c r="J164" t="s">
        <v>1485</v>
      </c>
      <c r="K164" s="67" t="s">
        <v>136</v>
      </c>
      <c r="L164" s="67" t="s">
        <v>315</v>
      </c>
      <c r="M164" s="67" t="s">
        <v>635</v>
      </c>
      <c r="N164" s="61" t="s">
        <v>111</v>
      </c>
    </row>
    <row r="165" spans="1:14">
      <c r="A165" s="108">
        <v>164</v>
      </c>
      <c r="B165" s="56" t="s">
        <v>25</v>
      </c>
      <c r="C165" s="85" t="s">
        <v>1008</v>
      </c>
      <c r="D165" s="56" t="s">
        <v>1009</v>
      </c>
      <c r="E165" s="56">
        <v>12</v>
      </c>
      <c r="F165" s="56" t="s">
        <v>226</v>
      </c>
      <c r="G165" s="56" t="s">
        <v>79</v>
      </c>
      <c r="H165" s="56" t="s">
        <v>1483</v>
      </c>
      <c r="I165" s="54" t="s">
        <v>1010</v>
      </c>
      <c r="J165" s="54" t="s">
        <v>1011</v>
      </c>
      <c r="K165" s="54" t="s">
        <v>108</v>
      </c>
      <c r="L165" s="54" t="s">
        <v>135</v>
      </c>
      <c r="M165" s="54" t="s">
        <v>136</v>
      </c>
      <c r="N165" s="54" t="s">
        <v>111</v>
      </c>
    </row>
    <row r="166" spans="1:14">
      <c r="A166" s="108">
        <v>165</v>
      </c>
      <c r="B166" s="56" t="s">
        <v>25</v>
      </c>
      <c r="C166" s="85" t="s">
        <v>1012</v>
      </c>
      <c r="D166" s="56" t="s">
        <v>1013</v>
      </c>
      <c r="E166" s="56">
        <v>14</v>
      </c>
      <c r="F166" s="56" t="s">
        <v>226</v>
      </c>
      <c r="G166" s="56" t="s">
        <v>79</v>
      </c>
      <c r="H166" s="56" t="s">
        <v>1483</v>
      </c>
      <c r="I166" s="54" t="s">
        <v>1014</v>
      </c>
      <c r="J166" s="54" t="s">
        <v>749</v>
      </c>
      <c r="K166" s="54" t="s">
        <v>136</v>
      </c>
      <c r="L166" s="54" t="s">
        <v>200</v>
      </c>
      <c r="M166" s="54" t="s">
        <v>635</v>
      </c>
      <c r="N166" s="54" t="s">
        <v>111</v>
      </c>
    </row>
    <row r="167" spans="1:14">
      <c r="A167" s="115">
        <v>166</v>
      </c>
      <c r="B167" s="56" t="s">
        <v>25</v>
      </c>
      <c r="C167" s="85" t="s">
        <v>1015</v>
      </c>
      <c r="D167" s="56" t="s">
        <v>1016</v>
      </c>
      <c r="E167" s="56">
        <v>19</v>
      </c>
      <c r="F167" s="56" t="s">
        <v>1017</v>
      </c>
      <c r="G167" s="56" t="s">
        <v>79</v>
      </c>
      <c r="H167" s="56" t="s">
        <v>1483</v>
      </c>
      <c r="I167" s="56"/>
      <c r="K167" t="s">
        <v>1321</v>
      </c>
      <c r="N167" s="54" t="s">
        <v>122</v>
      </c>
    </row>
    <row r="168" spans="1:14">
      <c r="A168" s="115">
        <v>167</v>
      </c>
      <c r="B168" s="56" t="s">
        <v>25</v>
      </c>
      <c r="C168" s="85" t="s">
        <v>1018</v>
      </c>
      <c r="D168" s="56" t="s">
        <v>1019</v>
      </c>
      <c r="E168" s="56">
        <v>17</v>
      </c>
      <c r="F168" s="56" t="s">
        <v>226</v>
      </c>
      <c r="G168" s="56" t="s">
        <v>79</v>
      </c>
      <c r="H168" s="56" t="s">
        <v>1483</v>
      </c>
      <c r="I168" s="54" t="s">
        <v>1020</v>
      </c>
      <c r="J168" s="54" t="s">
        <v>842</v>
      </c>
      <c r="K168" s="54" t="s">
        <v>198</v>
      </c>
      <c r="L168" s="54" t="s">
        <v>199</v>
      </c>
      <c r="M168" s="54" t="s">
        <v>200</v>
      </c>
      <c r="N168" s="54" t="s">
        <v>111</v>
      </c>
    </row>
    <row r="169" spans="1:14">
      <c r="A169" s="108">
        <v>168</v>
      </c>
      <c r="B169" s="56" t="s">
        <v>25</v>
      </c>
      <c r="C169" s="85" t="s">
        <v>1486</v>
      </c>
      <c r="D169" s="56" t="s">
        <v>1487</v>
      </c>
      <c r="E169" s="56">
        <v>15</v>
      </c>
      <c r="F169" s="56" t="s">
        <v>1017</v>
      </c>
      <c r="G169" s="56" t="s">
        <v>79</v>
      </c>
      <c r="H169" s="56" t="s">
        <v>1483</v>
      </c>
      <c r="I169" s="56"/>
      <c r="K169" t="s">
        <v>1313</v>
      </c>
      <c r="L169" t="s">
        <v>1313</v>
      </c>
      <c r="M169" s="54"/>
      <c r="N169" s="54" t="s">
        <v>16</v>
      </c>
    </row>
    <row r="170" spans="1:14">
      <c r="A170" s="108">
        <v>169</v>
      </c>
      <c r="B170" s="56" t="s">
        <v>25</v>
      </c>
      <c r="C170" s="85" t="s">
        <v>1021</v>
      </c>
      <c r="D170" s="56" t="s">
        <v>1022</v>
      </c>
      <c r="E170" s="56">
        <v>17</v>
      </c>
      <c r="F170" s="56" t="s">
        <v>1023</v>
      </c>
      <c r="G170" s="56" t="s">
        <v>79</v>
      </c>
      <c r="H170" s="56" t="s">
        <v>1483</v>
      </c>
      <c r="I170" s="54" t="s">
        <v>1024</v>
      </c>
      <c r="J170" s="54" t="s">
        <v>829</v>
      </c>
      <c r="K170" s="54" t="s">
        <v>108</v>
      </c>
      <c r="L170" s="54" t="s">
        <v>135</v>
      </c>
      <c r="M170" s="54" t="s">
        <v>136</v>
      </c>
      <c r="N170" s="54" t="s">
        <v>293</v>
      </c>
    </row>
    <row r="171" spans="1:14">
      <c r="A171" s="115">
        <v>170</v>
      </c>
      <c r="B171" s="56" t="s">
        <v>25</v>
      </c>
      <c r="C171" s="85" t="s">
        <v>1025</v>
      </c>
      <c r="D171" s="56" t="s">
        <v>486</v>
      </c>
      <c r="E171" s="56">
        <v>13</v>
      </c>
      <c r="F171" s="56" t="s">
        <v>226</v>
      </c>
      <c r="G171" s="56" t="s">
        <v>79</v>
      </c>
      <c r="H171" s="56" t="s">
        <v>1483</v>
      </c>
      <c r="I171" s="54" t="s">
        <v>1026</v>
      </c>
      <c r="J171" s="54" t="s">
        <v>1027</v>
      </c>
      <c r="K171" s="54" t="s">
        <v>108</v>
      </c>
      <c r="L171" s="54" t="s">
        <v>130</v>
      </c>
      <c r="M171" s="54" t="s">
        <v>110</v>
      </c>
      <c r="N171" s="54" t="s">
        <v>111</v>
      </c>
    </row>
    <row r="172" spans="1:14">
      <c r="A172" s="108">
        <v>171</v>
      </c>
      <c r="B172" s="56" t="s">
        <v>25</v>
      </c>
      <c r="C172" s="85" t="s">
        <v>1028</v>
      </c>
      <c r="D172" s="56" t="s">
        <v>1029</v>
      </c>
      <c r="E172" s="56">
        <v>15</v>
      </c>
      <c r="F172" s="56" t="s">
        <v>226</v>
      </c>
      <c r="G172" s="56" t="s">
        <v>79</v>
      </c>
      <c r="H172" s="56" t="s">
        <v>1483</v>
      </c>
      <c r="I172" s="54" t="s">
        <v>1030</v>
      </c>
      <c r="J172" s="54" t="s">
        <v>1031</v>
      </c>
      <c r="K172" s="54" t="s">
        <v>108</v>
      </c>
      <c r="L172" s="54" t="s">
        <v>135</v>
      </c>
      <c r="M172" s="54" t="s">
        <v>136</v>
      </c>
      <c r="N172" s="54" t="s">
        <v>111</v>
      </c>
    </row>
    <row r="173" spans="1:14">
      <c r="A173" s="115">
        <v>172</v>
      </c>
      <c r="B173" s="56" t="s">
        <v>25</v>
      </c>
      <c r="C173" s="85" t="s">
        <v>1032</v>
      </c>
      <c r="D173" s="56" t="s">
        <v>1033</v>
      </c>
      <c r="E173" s="56">
        <v>17</v>
      </c>
      <c r="F173" s="56" t="s">
        <v>226</v>
      </c>
      <c r="G173" s="56" t="s">
        <v>79</v>
      </c>
      <c r="H173" s="56" t="s">
        <v>1483</v>
      </c>
      <c r="I173" s="54" t="s">
        <v>1034</v>
      </c>
      <c r="J173" s="54" t="s">
        <v>624</v>
      </c>
      <c r="K173" s="54" t="s">
        <v>108</v>
      </c>
      <c r="L173" s="54" t="s">
        <v>135</v>
      </c>
      <c r="M173" s="54" t="s">
        <v>136</v>
      </c>
      <c r="N173" s="54" t="s">
        <v>111</v>
      </c>
    </row>
    <row r="174" spans="1:14">
      <c r="A174" s="115">
        <v>173</v>
      </c>
      <c r="B174" s="56" t="s">
        <v>25</v>
      </c>
      <c r="C174" s="85" t="s">
        <v>1035</v>
      </c>
      <c r="D174" s="56" t="s">
        <v>1036</v>
      </c>
      <c r="E174" s="56">
        <v>19</v>
      </c>
      <c r="F174" s="56" t="s">
        <v>226</v>
      </c>
      <c r="G174" s="56" t="s">
        <v>79</v>
      </c>
      <c r="H174" s="56" t="s">
        <v>1483</v>
      </c>
      <c r="I174" s="54" t="s">
        <v>1037</v>
      </c>
      <c r="J174" s="54" t="s">
        <v>1038</v>
      </c>
      <c r="K174" s="54" t="s">
        <v>135</v>
      </c>
      <c r="L174" s="54" t="s">
        <v>136</v>
      </c>
      <c r="M174" s="54" t="s">
        <v>150</v>
      </c>
      <c r="N174" s="54" t="s">
        <v>111</v>
      </c>
    </row>
    <row r="175" spans="1:14">
      <c r="A175" s="108">
        <v>174</v>
      </c>
      <c r="B175" s="56" t="s">
        <v>25</v>
      </c>
      <c r="C175" s="85" t="s">
        <v>224</v>
      </c>
      <c r="D175" s="56" t="s">
        <v>225</v>
      </c>
      <c r="E175" s="56">
        <v>12</v>
      </c>
      <c r="F175" s="56" t="s">
        <v>226</v>
      </c>
      <c r="G175" s="56" t="s">
        <v>43</v>
      </c>
      <c r="H175" s="56" t="s">
        <v>1488</v>
      </c>
      <c r="I175" s="54" t="s">
        <v>227</v>
      </c>
      <c r="J175" s="54" t="s">
        <v>228</v>
      </c>
      <c r="K175" s="54" t="s">
        <v>108</v>
      </c>
      <c r="L175" s="54" t="s">
        <v>135</v>
      </c>
      <c r="M175" s="54" t="s">
        <v>136</v>
      </c>
      <c r="N175" s="54" t="s">
        <v>117</v>
      </c>
    </row>
    <row r="176" spans="1:14">
      <c r="A176" s="108">
        <v>175</v>
      </c>
      <c r="B176" s="56" t="s">
        <v>25</v>
      </c>
      <c r="C176" s="85" t="s">
        <v>229</v>
      </c>
      <c r="D176" s="56" t="s">
        <v>230</v>
      </c>
      <c r="E176" s="56">
        <v>6</v>
      </c>
      <c r="F176" s="56" t="s">
        <v>231</v>
      </c>
      <c r="G176" s="56" t="s">
        <v>43</v>
      </c>
      <c r="H176" s="56" t="s">
        <v>1488</v>
      </c>
      <c r="I176" s="54" t="s">
        <v>232</v>
      </c>
      <c r="J176" s="54" t="s">
        <v>233</v>
      </c>
      <c r="K176" s="54" t="s">
        <v>108</v>
      </c>
      <c r="L176" s="54" t="s">
        <v>130</v>
      </c>
      <c r="M176" t="s">
        <v>110</v>
      </c>
      <c r="N176" s="54" t="s">
        <v>162</v>
      </c>
    </row>
    <row r="177" spans="1:14">
      <c r="A177" s="115">
        <v>176</v>
      </c>
      <c r="B177" s="56" t="s">
        <v>25</v>
      </c>
      <c r="C177" s="85" t="s">
        <v>1489</v>
      </c>
      <c r="D177" s="56" t="s">
        <v>1490</v>
      </c>
      <c r="E177" s="56">
        <v>12</v>
      </c>
      <c r="F177" s="56" t="s">
        <v>247</v>
      </c>
      <c r="G177" s="56" t="s">
        <v>43</v>
      </c>
      <c r="H177" s="56" t="s">
        <v>1488</v>
      </c>
      <c r="K177" t="s">
        <v>1313</v>
      </c>
      <c r="L177" t="s">
        <v>1313</v>
      </c>
      <c r="M177" s="54"/>
      <c r="N177" s="54" t="s">
        <v>16</v>
      </c>
    </row>
    <row r="178" spans="1:14">
      <c r="A178" s="115">
        <v>177</v>
      </c>
      <c r="B178" s="56" t="s">
        <v>25</v>
      </c>
      <c r="C178" s="85" t="s">
        <v>1491</v>
      </c>
      <c r="D178" s="56" t="s">
        <v>1492</v>
      </c>
      <c r="E178" s="56">
        <v>5</v>
      </c>
      <c r="F178" s="56" t="s">
        <v>276</v>
      </c>
      <c r="G178" s="56" t="s">
        <v>43</v>
      </c>
      <c r="H178" s="56" t="s">
        <v>1488</v>
      </c>
      <c r="I178" s="56" t="s">
        <v>1493</v>
      </c>
      <c r="J178" t="s">
        <v>1494</v>
      </c>
      <c r="K178" s="54" t="s">
        <v>108</v>
      </c>
      <c r="L178" s="54" t="s">
        <v>130</v>
      </c>
      <c r="M178" s="54" t="s">
        <v>110</v>
      </c>
      <c r="N178" s="54" t="s">
        <v>111</v>
      </c>
    </row>
    <row r="179" spans="1:14">
      <c r="A179" s="108">
        <v>178</v>
      </c>
      <c r="B179" s="56" t="s">
        <v>25</v>
      </c>
      <c r="C179" s="85" t="s">
        <v>234</v>
      </c>
      <c r="D179" s="56" t="s">
        <v>235</v>
      </c>
      <c r="E179" s="56">
        <v>12</v>
      </c>
      <c r="F179" s="56" t="s">
        <v>226</v>
      </c>
      <c r="G179" s="56" t="s">
        <v>43</v>
      </c>
      <c r="H179" s="56" t="s">
        <v>1488</v>
      </c>
      <c r="I179" s="54" t="s">
        <v>236</v>
      </c>
      <c r="J179" s="54" t="s">
        <v>237</v>
      </c>
      <c r="K179" s="54" t="s">
        <v>108</v>
      </c>
      <c r="L179" s="54" t="s">
        <v>135</v>
      </c>
      <c r="M179" s="54" t="s">
        <v>136</v>
      </c>
      <c r="N179" s="54" t="s">
        <v>162</v>
      </c>
    </row>
    <row r="180" spans="1:14">
      <c r="A180" s="108">
        <v>179</v>
      </c>
      <c r="B180" s="56" t="s">
        <v>25</v>
      </c>
      <c r="C180" s="85" t="s">
        <v>238</v>
      </c>
      <c r="D180" s="56" t="s">
        <v>239</v>
      </c>
      <c r="E180" s="56">
        <v>17</v>
      </c>
      <c r="F180" s="56" t="s">
        <v>226</v>
      </c>
      <c r="G180" s="56" t="s">
        <v>43</v>
      </c>
      <c r="H180" s="56" t="s">
        <v>1488</v>
      </c>
      <c r="I180" s="54" t="s">
        <v>240</v>
      </c>
      <c r="J180" s="54" t="s">
        <v>241</v>
      </c>
      <c r="K180" s="54" t="s">
        <v>135</v>
      </c>
      <c r="L180" s="54" t="s">
        <v>136</v>
      </c>
      <c r="M180" s="54" t="s">
        <v>150</v>
      </c>
      <c r="N180" s="54" t="s">
        <v>162</v>
      </c>
    </row>
    <row r="181" spans="1:14">
      <c r="A181" s="115">
        <v>180</v>
      </c>
      <c r="B181" s="56" t="s">
        <v>25</v>
      </c>
      <c r="C181" s="85" t="s">
        <v>242</v>
      </c>
      <c r="D181" s="56" t="s">
        <v>243</v>
      </c>
      <c r="E181" s="56">
        <v>12</v>
      </c>
      <c r="F181" s="56" t="s">
        <v>226</v>
      </c>
      <c r="G181" s="56" t="s">
        <v>43</v>
      </c>
      <c r="H181" s="56" t="s">
        <v>1488</v>
      </c>
      <c r="I181" s="54" t="s">
        <v>244</v>
      </c>
      <c r="J181" s="54" t="s">
        <v>107</v>
      </c>
      <c r="K181" s="54" t="s">
        <v>198</v>
      </c>
      <c r="L181" s="54" t="s">
        <v>135</v>
      </c>
      <c r="M181" s="54" t="s">
        <v>136</v>
      </c>
      <c r="N181" s="54" t="s">
        <v>162</v>
      </c>
    </row>
    <row r="182" spans="1:14">
      <c r="A182" s="108">
        <v>181</v>
      </c>
      <c r="B182" s="56" t="s">
        <v>25</v>
      </c>
      <c r="C182" s="85" t="s">
        <v>245</v>
      </c>
      <c r="D182" s="56" t="s">
        <v>246</v>
      </c>
      <c r="E182" s="56">
        <v>9</v>
      </c>
      <c r="F182" s="56" t="s">
        <v>247</v>
      </c>
      <c r="G182" s="56" t="s">
        <v>43</v>
      </c>
      <c r="H182" s="56" t="s">
        <v>1488</v>
      </c>
      <c r="I182" s="54" t="s">
        <v>248</v>
      </c>
      <c r="J182" s="54" t="s">
        <v>249</v>
      </c>
      <c r="K182" s="54" t="s">
        <v>110</v>
      </c>
      <c r="L182" s="54" t="s">
        <v>250</v>
      </c>
      <c r="M182" s="54" t="s">
        <v>251</v>
      </c>
      <c r="N182" s="54" t="s">
        <v>162</v>
      </c>
    </row>
    <row r="183" spans="1:14">
      <c r="A183" s="115">
        <v>182</v>
      </c>
      <c r="B183" s="56" t="s">
        <v>25</v>
      </c>
      <c r="C183" s="85" t="s">
        <v>252</v>
      </c>
      <c r="D183" s="56" t="s">
        <v>253</v>
      </c>
      <c r="E183" s="56">
        <v>10</v>
      </c>
      <c r="F183" s="56" t="s">
        <v>226</v>
      </c>
      <c r="G183" s="56" t="s">
        <v>43</v>
      </c>
      <c r="H183" s="56" t="s">
        <v>1488</v>
      </c>
      <c r="I183" s="54" t="s">
        <v>254</v>
      </c>
      <c r="J183" s="54" t="s">
        <v>228</v>
      </c>
      <c r="K183" s="54" t="s">
        <v>108</v>
      </c>
      <c r="L183" s="54" t="s">
        <v>130</v>
      </c>
      <c r="M183" t="s">
        <v>110</v>
      </c>
      <c r="N183" s="54" t="s">
        <v>162</v>
      </c>
    </row>
    <row r="184" spans="1:14">
      <c r="A184" s="115">
        <v>183</v>
      </c>
      <c r="B184" s="56" t="s">
        <v>25</v>
      </c>
      <c r="C184" s="85" t="s">
        <v>255</v>
      </c>
      <c r="D184" s="56" t="s">
        <v>256</v>
      </c>
      <c r="E184" s="56">
        <v>12</v>
      </c>
      <c r="F184" s="56" t="s">
        <v>226</v>
      </c>
      <c r="G184" s="56" t="s">
        <v>43</v>
      </c>
      <c r="H184" s="56" t="s">
        <v>1488</v>
      </c>
      <c r="I184" s="54" t="s">
        <v>257</v>
      </c>
      <c r="J184" s="54" t="s">
        <v>258</v>
      </c>
      <c r="K184" s="54" t="s">
        <v>108</v>
      </c>
      <c r="L184" s="54" t="s">
        <v>135</v>
      </c>
      <c r="M184" s="54" t="s">
        <v>136</v>
      </c>
      <c r="N184" s="54" t="s">
        <v>162</v>
      </c>
    </row>
    <row r="185" spans="1:14">
      <c r="A185" s="108">
        <v>184</v>
      </c>
      <c r="B185" s="56" t="s">
        <v>25</v>
      </c>
      <c r="C185" s="85" t="s">
        <v>259</v>
      </c>
      <c r="D185" s="56" t="s">
        <v>260</v>
      </c>
      <c r="E185" s="56">
        <v>24</v>
      </c>
      <c r="F185" s="56" t="s">
        <v>159</v>
      </c>
      <c r="G185" s="56" t="s">
        <v>43</v>
      </c>
      <c r="H185" s="56" t="s">
        <v>1488</v>
      </c>
      <c r="I185" s="55"/>
      <c r="J185" s="55"/>
      <c r="K185" s="54" t="s">
        <v>1321</v>
      </c>
      <c r="L185" s="54"/>
      <c r="M185" s="54"/>
      <c r="N185" s="54" t="s">
        <v>122</v>
      </c>
    </row>
    <row r="186" spans="1:14">
      <c r="A186" s="108">
        <v>185</v>
      </c>
      <c r="B186" s="56" t="s">
        <v>25</v>
      </c>
      <c r="C186" s="85" t="s">
        <v>261</v>
      </c>
      <c r="D186" s="56" t="s">
        <v>262</v>
      </c>
      <c r="E186" s="56">
        <v>8</v>
      </c>
      <c r="F186" s="56" t="s">
        <v>226</v>
      </c>
      <c r="G186" s="56" t="s">
        <v>43</v>
      </c>
      <c r="H186" s="56" t="s">
        <v>1488</v>
      </c>
      <c r="I186" s="54" t="s">
        <v>263</v>
      </c>
      <c r="J186" s="54" t="s">
        <v>264</v>
      </c>
      <c r="K186" s="54" t="s">
        <v>108</v>
      </c>
      <c r="L186" t="s">
        <v>109</v>
      </c>
      <c r="M186" t="s">
        <v>110</v>
      </c>
      <c r="N186" s="54" t="s">
        <v>162</v>
      </c>
    </row>
    <row r="187" spans="1:14">
      <c r="A187" s="115">
        <v>186</v>
      </c>
      <c r="B187" s="56" t="s">
        <v>25</v>
      </c>
      <c r="C187" s="85" t="s">
        <v>265</v>
      </c>
      <c r="D187" s="56" t="s">
        <v>266</v>
      </c>
      <c r="E187" s="56">
        <v>11</v>
      </c>
      <c r="F187" s="56" t="s">
        <v>226</v>
      </c>
      <c r="G187" s="56" t="s">
        <v>43</v>
      </c>
      <c r="H187" s="56" t="s">
        <v>1488</v>
      </c>
      <c r="I187" s="54" t="s">
        <v>267</v>
      </c>
      <c r="J187" s="54" t="s">
        <v>268</v>
      </c>
      <c r="K187" s="54" t="s">
        <v>135</v>
      </c>
      <c r="L187" s="54" t="s">
        <v>136</v>
      </c>
      <c r="M187" s="54" t="s">
        <v>150</v>
      </c>
      <c r="N187" s="54" t="s">
        <v>162</v>
      </c>
    </row>
    <row r="188" spans="1:14">
      <c r="A188" s="115">
        <v>187</v>
      </c>
      <c r="B188" s="56" t="s">
        <v>25</v>
      </c>
      <c r="C188" s="85" t="s">
        <v>269</v>
      </c>
      <c r="D188" s="56" t="s">
        <v>270</v>
      </c>
      <c r="E188" s="56">
        <v>20</v>
      </c>
      <c r="F188" s="56" t="s">
        <v>271</v>
      </c>
      <c r="G188" s="56" t="s">
        <v>43</v>
      </c>
      <c r="H188" s="56" t="s">
        <v>1488</v>
      </c>
      <c r="I188" s="54" t="s">
        <v>272</v>
      </c>
      <c r="J188" s="54" t="s">
        <v>273</v>
      </c>
      <c r="K188" s="54" t="s">
        <v>198</v>
      </c>
      <c r="L188" s="54" t="s">
        <v>135</v>
      </c>
      <c r="M188" s="54" t="s">
        <v>136</v>
      </c>
      <c r="N188" s="54" t="s">
        <v>162</v>
      </c>
    </row>
    <row r="189" spans="1:14">
      <c r="A189" s="108">
        <v>188</v>
      </c>
      <c r="B189" s="56" t="s">
        <v>25</v>
      </c>
      <c r="C189" s="85" t="s">
        <v>274</v>
      </c>
      <c r="D189" s="56" t="s">
        <v>275</v>
      </c>
      <c r="E189" s="56">
        <v>6</v>
      </c>
      <c r="F189" s="56" t="s">
        <v>276</v>
      </c>
      <c r="G189" s="56" t="s">
        <v>43</v>
      </c>
      <c r="H189" s="56" t="s">
        <v>1488</v>
      </c>
      <c r="I189" s="54" t="s">
        <v>277</v>
      </c>
      <c r="J189" s="54" t="s">
        <v>228</v>
      </c>
      <c r="K189" s="54" t="s">
        <v>108</v>
      </c>
      <c r="L189" s="54" t="s">
        <v>130</v>
      </c>
      <c r="M189" t="s">
        <v>110</v>
      </c>
      <c r="N189" s="54" t="s">
        <v>162</v>
      </c>
    </row>
    <row r="190" spans="1:14">
      <c r="A190" s="108">
        <v>189</v>
      </c>
      <c r="B190" s="56" t="s">
        <v>25</v>
      </c>
      <c r="C190" s="85" t="s">
        <v>278</v>
      </c>
      <c r="D190" s="56" t="s">
        <v>279</v>
      </c>
      <c r="E190" s="56">
        <v>20</v>
      </c>
      <c r="F190" s="56" t="s">
        <v>226</v>
      </c>
      <c r="G190" s="56" t="s">
        <v>43</v>
      </c>
      <c r="H190" s="56" t="s">
        <v>1488</v>
      </c>
      <c r="I190" s="54" t="s">
        <v>280</v>
      </c>
      <c r="J190" s="54" t="s">
        <v>273</v>
      </c>
      <c r="K190" s="54" t="s">
        <v>198</v>
      </c>
      <c r="L190" s="54" t="s">
        <v>135</v>
      </c>
      <c r="M190" s="54" t="s">
        <v>136</v>
      </c>
      <c r="N190" s="54" t="s">
        <v>117</v>
      </c>
    </row>
    <row r="191" spans="1:14">
      <c r="A191" s="115">
        <v>190</v>
      </c>
      <c r="B191" s="56" t="s">
        <v>25</v>
      </c>
      <c r="C191" s="85" t="s">
        <v>281</v>
      </c>
      <c r="D191" s="56" t="s">
        <v>282</v>
      </c>
      <c r="E191" s="56">
        <v>10</v>
      </c>
      <c r="F191" s="56" t="s">
        <v>226</v>
      </c>
      <c r="G191" s="56" t="s">
        <v>43</v>
      </c>
      <c r="H191" s="56" t="s">
        <v>1488</v>
      </c>
      <c r="I191" s="54" t="s">
        <v>283</v>
      </c>
      <c r="J191" s="54" t="s">
        <v>284</v>
      </c>
      <c r="K191" s="54" t="s">
        <v>108</v>
      </c>
      <c r="L191" s="54" t="s">
        <v>135</v>
      </c>
      <c r="M191" s="54" t="s">
        <v>136</v>
      </c>
      <c r="N191" s="54" t="s">
        <v>162</v>
      </c>
    </row>
    <row r="192" spans="1:14">
      <c r="A192" s="108">
        <v>191</v>
      </c>
      <c r="B192" s="56" t="s">
        <v>25</v>
      </c>
      <c r="C192" s="85" t="s">
        <v>413</v>
      </c>
      <c r="D192" s="56" t="s">
        <v>414</v>
      </c>
      <c r="E192" s="56">
        <v>6</v>
      </c>
      <c r="F192" s="56" t="s">
        <v>415</v>
      </c>
      <c r="G192" s="56" t="s">
        <v>52</v>
      </c>
      <c r="H192" s="56" t="s">
        <v>1495</v>
      </c>
      <c r="I192" s="54" t="s">
        <v>416</v>
      </c>
      <c r="J192" s="54" t="s">
        <v>417</v>
      </c>
      <c r="K192" s="54" t="s">
        <v>108</v>
      </c>
      <c r="L192" s="54" t="s">
        <v>130</v>
      </c>
      <c r="M192" s="54" t="s">
        <v>110</v>
      </c>
      <c r="N192" s="54" t="s">
        <v>111</v>
      </c>
    </row>
    <row r="193" spans="1:14">
      <c r="A193" s="115">
        <v>192</v>
      </c>
      <c r="B193" s="56" t="s">
        <v>25</v>
      </c>
      <c r="C193" s="85" t="s">
        <v>1496</v>
      </c>
      <c r="D193" s="56" t="s">
        <v>1497</v>
      </c>
      <c r="E193" s="56">
        <v>17</v>
      </c>
      <c r="F193" s="56" t="s">
        <v>226</v>
      </c>
      <c r="G193" s="56" t="s">
        <v>52</v>
      </c>
      <c r="H193" s="56" t="s">
        <v>1495</v>
      </c>
      <c r="I193" s="56" t="s">
        <v>1498</v>
      </c>
      <c r="J193" t="s">
        <v>129</v>
      </c>
      <c r="K193" s="54" t="s">
        <v>198</v>
      </c>
      <c r="L193" s="54" t="s">
        <v>135</v>
      </c>
      <c r="M193" s="54" t="s">
        <v>136</v>
      </c>
      <c r="N193" s="54" t="s">
        <v>162</v>
      </c>
    </row>
    <row r="194" spans="1:14">
      <c r="A194" s="115">
        <v>193</v>
      </c>
      <c r="B194" s="56" t="s">
        <v>25</v>
      </c>
      <c r="C194" s="85" t="s">
        <v>418</v>
      </c>
      <c r="D194" s="56" t="s">
        <v>419</v>
      </c>
      <c r="E194" s="56">
        <v>17</v>
      </c>
      <c r="F194" s="56" t="s">
        <v>226</v>
      </c>
      <c r="G194" s="56" t="s">
        <v>52</v>
      </c>
      <c r="H194" s="56" t="s">
        <v>1495</v>
      </c>
      <c r="I194" s="54" t="s">
        <v>420</v>
      </c>
      <c r="J194" s="54" t="s">
        <v>421</v>
      </c>
      <c r="K194" s="54" t="s">
        <v>108</v>
      </c>
      <c r="L194" s="54" t="s">
        <v>135</v>
      </c>
      <c r="M194" s="54" t="s">
        <v>136</v>
      </c>
      <c r="N194" s="54" t="s">
        <v>162</v>
      </c>
    </row>
    <row r="195" spans="1:14">
      <c r="A195" s="108">
        <v>194</v>
      </c>
      <c r="B195" s="56" t="s">
        <v>25</v>
      </c>
      <c r="C195" s="85" t="s">
        <v>422</v>
      </c>
      <c r="D195" s="56" t="s">
        <v>423</v>
      </c>
      <c r="E195" s="56">
        <v>17</v>
      </c>
      <c r="F195" s="56" t="s">
        <v>226</v>
      </c>
      <c r="G195" s="56" t="s">
        <v>52</v>
      </c>
      <c r="H195" s="56" t="s">
        <v>1495</v>
      </c>
      <c r="I195" s="54" t="s">
        <v>424</v>
      </c>
      <c r="J195" s="54" t="s">
        <v>425</v>
      </c>
      <c r="K195" s="54" t="s">
        <v>108</v>
      </c>
      <c r="L195" s="54" t="s">
        <v>130</v>
      </c>
      <c r="M195" s="54" t="s">
        <v>110</v>
      </c>
      <c r="N195" s="54" t="s">
        <v>111</v>
      </c>
    </row>
    <row r="196" spans="1:14">
      <c r="A196" s="108">
        <v>195</v>
      </c>
      <c r="B196" s="56" t="s">
        <v>25</v>
      </c>
      <c r="C196" s="85" t="s">
        <v>426</v>
      </c>
      <c r="D196" s="56" t="s">
        <v>427</v>
      </c>
      <c r="E196" s="56">
        <v>7</v>
      </c>
      <c r="F196" s="56" t="s">
        <v>226</v>
      </c>
      <c r="G196" s="56" t="s">
        <v>52</v>
      </c>
      <c r="H196" s="56" t="s">
        <v>1495</v>
      </c>
      <c r="I196" s="54" t="s">
        <v>428</v>
      </c>
      <c r="J196" s="54" t="s">
        <v>429</v>
      </c>
      <c r="K196" s="54" t="s">
        <v>108</v>
      </c>
      <c r="L196" s="54" t="s">
        <v>130</v>
      </c>
      <c r="M196" s="54" t="s">
        <v>110</v>
      </c>
      <c r="N196" s="54" t="s">
        <v>111</v>
      </c>
    </row>
    <row r="197" spans="1:14">
      <c r="A197" s="115">
        <v>196</v>
      </c>
      <c r="B197" s="56" t="s">
        <v>25</v>
      </c>
      <c r="C197" s="85" t="s">
        <v>738</v>
      </c>
      <c r="D197" s="56" t="s">
        <v>739</v>
      </c>
      <c r="E197" s="56">
        <v>15</v>
      </c>
      <c r="F197" s="56" t="s">
        <v>226</v>
      </c>
      <c r="G197" s="56" t="s">
        <v>65</v>
      </c>
      <c r="H197" s="56" t="s">
        <v>1499</v>
      </c>
      <c r="I197" s="55"/>
      <c r="J197" s="55"/>
      <c r="K197" s="55" t="s">
        <v>1321</v>
      </c>
      <c r="L197" s="55"/>
      <c r="M197" s="54"/>
      <c r="N197" s="54" t="s">
        <v>122</v>
      </c>
    </row>
    <row r="198" spans="1:14">
      <c r="A198" s="115">
        <v>197</v>
      </c>
      <c r="B198" s="56" t="s">
        <v>25</v>
      </c>
      <c r="C198" s="85" t="s">
        <v>740</v>
      </c>
      <c r="D198" s="56" t="s">
        <v>741</v>
      </c>
      <c r="E198" s="56">
        <v>7</v>
      </c>
      <c r="F198" s="56" t="s">
        <v>742</v>
      </c>
      <c r="G198" s="56" t="s">
        <v>65</v>
      </c>
      <c r="H198" s="56" t="s">
        <v>1499</v>
      </c>
      <c r="I198" s="54" t="s">
        <v>743</v>
      </c>
      <c r="J198" s="54" t="s">
        <v>292</v>
      </c>
      <c r="K198" s="54" t="s">
        <v>108</v>
      </c>
      <c r="L198" s="54" t="s">
        <v>130</v>
      </c>
      <c r="M198" s="54" t="s">
        <v>110</v>
      </c>
      <c r="N198" s="54" t="s">
        <v>117</v>
      </c>
    </row>
    <row r="199" spans="1:14">
      <c r="A199" s="108">
        <v>198</v>
      </c>
      <c r="B199" s="56" t="s">
        <v>25</v>
      </c>
      <c r="C199" s="85" t="s">
        <v>744</v>
      </c>
      <c r="D199" s="56" t="s">
        <v>745</v>
      </c>
      <c r="E199" s="56">
        <v>10</v>
      </c>
      <c r="F199" s="56" t="s">
        <v>231</v>
      </c>
      <c r="G199" s="56" t="s">
        <v>65</v>
      </c>
      <c r="H199" s="56" t="s">
        <v>1499</v>
      </c>
      <c r="I199" s="54" t="s">
        <v>222</v>
      </c>
      <c r="J199" s="54" t="s">
        <v>307</v>
      </c>
      <c r="K199" s="54" t="s">
        <v>108</v>
      </c>
      <c r="L199" s="54" t="s">
        <v>135</v>
      </c>
      <c r="M199" s="54" t="s">
        <v>136</v>
      </c>
      <c r="N199" s="54" t="s">
        <v>111</v>
      </c>
    </row>
    <row r="200" spans="1:14">
      <c r="A200" s="108">
        <v>199</v>
      </c>
      <c r="B200" s="56" t="s">
        <v>25</v>
      </c>
      <c r="C200" s="85" t="s">
        <v>1500</v>
      </c>
      <c r="D200" s="56" t="s">
        <v>1501</v>
      </c>
      <c r="E200" s="56">
        <v>6</v>
      </c>
      <c r="F200" s="56" t="s">
        <v>231</v>
      </c>
      <c r="G200" s="56" t="s">
        <v>65</v>
      </c>
      <c r="H200" s="56" t="s">
        <v>1499</v>
      </c>
      <c r="I200" s="56"/>
      <c r="K200" s="54" t="s">
        <v>186</v>
      </c>
      <c r="L200" t="s">
        <v>187</v>
      </c>
      <c r="M200" s="54"/>
      <c r="N200" s="54" t="s">
        <v>188</v>
      </c>
    </row>
    <row r="201" spans="1:14">
      <c r="A201" s="115">
        <v>200</v>
      </c>
      <c r="B201" s="56" t="s">
        <v>25</v>
      </c>
      <c r="C201" s="85" t="s">
        <v>746</v>
      </c>
      <c r="D201" s="56" t="s">
        <v>747</v>
      </c>
      <c r="E201" s="56">
        <v>18</v>
      </c>
      <c r="F201" s="56" t="s">
        <v>226</v>
      </c>
      <c r="G201" s="56" t="s">
        <v>65</v>
      </c>
      <c r="H201" s="56" t="s">
        <v>1499</v>
      </c>
      <c r="I201" s="54" t="s">
        <v>748</v>
      </c>
      <c r="J201" s="54" t="s">
        <v>749</v>
      </c>
      <c r="K201" s="54" t="s">
        <v>116</v>
      </c>
      <c r="L201" s="54" t="s">
        <v>199</v>
      </c>
      <c r="M201" s="54" t="s">
        <v>110</v>
      </c>
      <c r="N201" s="54" t="s">
        <v>117</v>
      </c>
    </row>
    <row r="202" spans="1:14">
      <c r="A202" s="108">
        <v>201</v>
      </c>
      <c r="B202" s="56" t="s">
        <v>25</v>
      </c>
      <c r="C202" s="85" t="s">
        <v>750</v>
      </c>
      <c r="D202" s="56" t="s">
        <v>751</v>
      </c>
      <c r="E202" s="56">
        <v>19</v>
      </c>
      <c r="F202" s="56" t="s">
        <v>752</v>
      </c>
      <c r="G202" s="56" t="s">
        <v>65</v>
      </c>
      <c r="H202" s="56" t="s">
        <v>1499</v>
      </c>
      <c r="I202" s="55"/>
      <c r="J202" s="55"/>
      <c r="K202" t="s">
        <v>1313</v>
      </c>
      <c r="L202" t="s">
        <v>1313</v>
      </c>
      <c r="M202" s="54"/>
      <c r="N202" s="54" t="s">
        <v>16</v>
      </c>
    </row>
    <row r="203" spans="1:14">
      <c r="A203" s="115">
        <v>202</v>
      </c>
      <c r="B203" s="56" t="s">
        <v>25</v>
      </c>
      <c r="C203" s="85" t="s">
        <v>753</v>
      </c>
      <c r="D203" s="56" t="s">
        <v>754</v>
      </c>
      <c r="E203" s="56">
        <v>17</v>
      </c>
      <c r="F203" s="56" t="s">
        <v>226</v>
      </c>
      <c r="G203" s="56" t="s">
        <v>65</v>
      </c>
      <c r="H203" s="56" t="s">
        <v>1499</v>
      </c>
      <c r="I203" s="54" t="s">
        <v>755</v>
      </c>
      <c r="J203" s="54" t="s">
        <v>756</v>
      </c>
      <c r="K203" s="54" t="s">
        <v>198</v>
      </c>
      <c r="L203" s="54" t="s">
        <v>135</v>
      </c>
      <c r="M203" s="54" t="s">
        <v>136</v>
      </c>
      <c r="N203" s="54" t="s">
        <v>293</v>
      </c>
    </row>
    <row r="204" spans="1:14">
      <c r="A204" s="115">
        <v>203</v>
      </c>
      <c r="B204" s="56" t="s">
        <v>25</v>
      </c>
      <c r="C204" s="85" t="s">
        <v>1039</v>
      </c>
      <c r="D204" s="56" t="s">
        <v>1040</v>
      </c>
      <c r="E204" s="56">
        <v>13</v>
      </c>
      <c r="F204" s="56" t="s">
        <v>226</v>
      </c>
      <c r="G204" s="87" t="s">
        <v>80</v>
      </c>
      <c r="H204" s="87" t="s">
        <v>1502</v>
      </c>
      <c r="I204" s="54" t="s">
        <v>1041</v>
      </c>
      <c r="J204" s="54" t="s">
        <v>1042</v>
      </c>
      <c r="K204" s="54" t="s">
        <v>108</v>
      </c>
      <c r="L204" s="54" t="s">
        <v>135</v>
      </c>
      <c r="M204" s="54" t="s">
        <v>136</v>
      </c>
      <c r="N204" s="54" t="s">
        <v>162</v>
      </c>
    </row>
    <row r="205" spans="1:14">
      <c r="A205" s="108">
        <v>204</v>
      </c>
      <c r="B205" s="56" t="s">
        <v>25</v>
      </c>
      <c r="C205" s="85" t="s">
        <v>1043</v>
      </c>
      <c r="D205" s="56" t="s">
        <v>1044</v>
      </c>
      <c r="E205" s="56">
        <v>12</v>
      </c>
      <c r="F205" s="56" t="s">
        <v>1045</v>
      </c>
      <c r="G205" s="87" t="s">
        <v>80</v>
      </c>
      <c r="H205" s="87" t="s">
        <v>1502</v>
      </c>
      <c r="I205" s="55"/>
      <c r="J205" s="55"/>
      <c r="K205" t="s">
        <v>1313</v>
      </c>
      <c r="L205" t="s">
        <v>1313</v>
      </c>
      <c r="M205" s="54"/>
      <c r="N205" s="54" t="s">
        <v>16</v>
      </c>
    </row>
    <row r="206" spans="1:14">
      <c r="A206" s="108">
        <v>205</v>
      </c>
      <c r="B206" s="56" t="s">
        <v>25</v>
      </c>
      <c r="C206" s="85" t="s">
        <v>1503</v>
      </c>
      <c r="D206" s="56" t="s">
        <v>1504</v>
      </c>
      <c r="E206" s="56">
        <v>12</v>
      </c>
      <c r="F206" s="56" t="s">
        <v>231</v>
      </c>
      <c r="G206" s="87" t="s">
        <v>80</v>
      </c>
      <c r="H206" s="87" t="s">
        <v>1502</v>
      </c>
      <c r="I206" s="56"/>
      <c r="K206" s="54" t="s">
        <v>186</v>
      </c>
      <c r="L206" t="s">
        <v>187</v>
      </c>
      <c r="M206" s="54"/>
      <c r="N206" s="54" t="s">
        <v>188</v>
      </c>
    </row>
    <row r="207" spans="1:14">
      <c r="A207" s="115">
        <v>206</v>
      </c>
      <c r="B207" s="56" t="s">
        <v>25</v>
      </c>
      <c r="C207" s="85" t="s">
        <v>1046</v>
      </c>
      <c r="D207" s="56" t="s">
        <v>1047</v>
      </c>
      <c r="E207" s="56">
        <v>20</v>
      </c>
      <c r="F207" s="56" t="s">
        <v>226</v>
      </c>
      <c r="G207" s="87" t="s">
        <v>80</v>
      </c>
      <c r="H207" s="87" t="s">
        <v>1502</v>
      </c>
      <c r="I207" s="54" t="s">
        <v>1048</v>
      </c>
      <c r="J207" s="54" t="s">
        <v>710</v>
      </c>
      <c r="K207" s="54" t="s">
        <v>108</v>
      </c>
      <c r="L207" s="54" t="s">
        <v>130</v>
      </c>
      <c r="M207" s="54" t="s">
        <v>110</v>
      </c>
      <c r="N207" s="54" t="s">
        <v>117</v>
      </c>
    </row>
    <row r="208" spans="1:14">
      <c r="A208" s="115">
        <v>207</v>
      </c>
      <c r="B208" s="56" t="s">
        <v>25</v>
      </c>
      <c r="C208" s="85" t="s">
        <v>1505</v>
      </c>
      <c r="D208" s="56" t="s">
        <v>1506</v>
      </c>
      <c r="E208" s="56">
        <v>13</v>
      </c>
      <c r="F208" s="56" t="s">
        <v>226</v>
      </c>
      <c r="G208" s="87" t="s">
        <v>80</v>
      </c>
      <c r="H208" s="87" t="s">
        <v>1502</v>
      </c>
      <c r="I208" s="56" t="s">
        <v>455</v>
      </c>
      <c r="J208" t="s">
        <v>1507</v>
      </c>
      <c r="K208" s="54" t="s">
        <v>108</v>
      </c>
      <c r="L208" s="54" t="s">
        <v>135</v>
      </c>
      <c r="M208" s="54" t="s">
        <v>136</v>
      </c>
      <c r="N208" s="54" t="s">
        <v>111</v>
      </c>
    </row>
    <row r="209" spans="1:14" hidden="1">
      <c r="A209" s="108">
        <v>208</v>
      </c>
      <c r="B209" s="56" t="s">
        <v>25</v>
      </c>
      <c r="C209" s="85" t="s">
        <v>1176</v>
      </c>
      <c r="D209" s="56" t="s">
        <v>1177</v>
      </c>
      <c r="E209" s="56">
        <v>13</v>
      </c>
      <c r="F209" s="56" t="s">
        <v>226</v>
      </c>
      <c r="G209" s="56" t="s">
        <v>85</v>
      </c>
      <c r="H209" s="56" t="s">
        <v>1508</v>
      </c>
      <c r="I209" s="54" t="s">
        <v>479</v>
      </c>
      <c r="J209" s="54" t="s">
        <v>1178</v>
      </c>
      <c r="K209" s="54" t="s">
        <v>135</v>
      </c>
      <c r="L209" s="54" t="s">
        <v>136</v>
      </c>
      <c r="M209" s="54" t="s">
        <v>150</v>
      </c>
      <c r="N209" s="54" t="s">
        <v>117</v>
      </c>
    </row>
    <row r="210" spans="1:14" hidden="1">
      <c r="A210" s="108">
        <v>209</v>
      </c>
      <c r="B210" s="56" t="s">
        <v>25</v>
      </c>
      <c r="C210" s="85" t="s">
        <v>1179</v>
      </c>
      <c r="D210" s="56" t="s">
        <v>1180</v>
      </c>
      <c r="E210" s="56">
        <v>7</v>
      </c>
      <c r="F210" s="56" t="s">
        <v>1181</v>
      </c>
      <c r="G210" s="56" t="s">
        <v>85</v>
      </c>
      <c r="H210" s="56" t="s">
        <v>1508</v>
      </c>
      <c r="I210" s="54" t="s">
        <v>1182</v>
      </c>
      <c r="J210" s="54" t="s">
        <v>710</v>
      </c>
      <c r="K210" s="54" t="s">
        <v>108</v>
      </c>
      <c r="L210" s="54" t="s">
        <v>130</v>
      </c>
      <c r="M210" s="54" t="s">
        <v>110</v>
      </c>
      <c r="N210" s="54" t="s">
        <v>111</v>
      </c>
    </row>
    <row r="211" spans="1:14" hidden="1">
      <c r="A211" s="115">
        <v>210</v>
      </c>
      <c r="B211" s="56" t="s">
        <v>25</v>
      </c>
      <c r="C211" s="85" t="s">
        <v>1183</v>
      </c>
      <c r="D211" s="56" t="s">
        <v>1184</v>
      </c>
      <c r="E211" s="56">
        <v>21</v>
      </c>
      <c r="F211" s="56" t="s">
        <v>226</v>
      </c>
      <c r="G211" s="56" t="s">
        <v>85</v>
      </c>
      <c r="H211" s="56" t="s">
        <v>1508</v>
      </c>
      <c r="I211" s="55"/>
      <c r="J211" s="55"/>
      <c r="K211" s="54" t="s">
        <v>1321</v>
      </c>
      <c r="L211" s="54"/>
      <c r="M211" s="54"/>
      <c r="N211" s="54" t="s">
        <v>122</v>
      </c>
    </row>
    <row r="212" spans="1:14" hidden="1">
      <c r="A212" s="108">
        <v>211</v>
      </c>
      <c r="B212" s="56" t="s">
        <v>25</v>
      </c>
      <c r="C212" s="85" t="s">
        <v>1185</v>
      </c>
      <c r="D212" s="56" t="s">
        <v>1186</v>
      </c>
      <c r="E212" s="56">
        <v>12</v>
      </c>
      <c r="F212" s="56" t="s">
        <v>1187</v>
      </c>
      <c r="G212" s="56" t="s">
        <v>85</v>
      </c>
      <c r="H212" s="56" t="s">
        <v>1508</v>
      </c>
      <c r="I212" s="54" t="s">
        <v>1188</v>
      </c>
      <c r="J212" s="54" t="s">
        <v>1189</v>
      </c>
      <c r="K212" s="54" t="s">
        <v>108</v>
      </c>
      <c r="L212" s="54" t="s">
        <v>135</v>
      </c>
      <c r="M212" s="54" t="s">
        <v>136</v>
      </c>
      <c r="N212" s="54" t="s">
        <v>117</v>
      </c>
    </row>
    <row r="213" spans="1:14" hidden="1">
      <c r="A213" s="115">
        <v>212</v>
      </c>
      <c r="B213" s="56" t="s">
        <v>25</v>
      </c>
      <c r="C213" s="85" t="s">
        <v>1509</v>
      </c>
      <c r="D213" s="56" t="s">
        <v>1510</v>
      </c>
      <c r="E213" s="56">
        <v>14</v>
      </c>
      <c r="F213" s="56" t="s">
        <v>231</v>
      </c>
      <c r="G213" s="56" t="s">
        <v>85</v>
      </c>
      <c r="H213" s="56" t="s">
        <v>1508</v>
      </c>
      <c r="K213" s="54" t="s">
        <v>186</v>
      </c>
      <c r="L213" t="s">
        <v>187</v>
      </c>
      <c r="M213" s="54"/>
      <c r="N213" s="54" t="s">
        <v>188</v>
      </c>
    </row>
    <row r="214" spans="1:14" hidden="1">
      <c r="A214" s="115">
        <v>213</v>
      </c>
      <c r="B214" s="56" t="s">
        <v>25</v>
      </c>
      <c r="C214" s="85" t="s">
        <v>1190</v>
      </c>
      <c r="D214" s="56" t="s">
        <v>1191</v>
      </c>
      <c r="E214" s="56">
        <v>12</v>
      </c>
      <c r="F214" s="56" t="s">
        <v>226</v>
      </c>
      <c r="G214" s="56" t="s">
        <v>85</v>
      </c>
      <c r="H214" s="56" t="s">
        <v>1508</v>
      </c>
      <c r="I214" s="54" t="s">
        <v>1004</v>
      </c>
      <c r="J214" s="54" t="s">
        <v>807</v>
      </c>
      <c r="K214" s="54" t="s">
        <v>198</v>
      </c>
      <c r="L214" s="54" t="s">
        <v>135</v>
      </c>
      <c r="M214" s="54" t="s">
        <v>136</v>
      </c>
      <c r="N214" s="54" t="s">
        <v>293</v>
      </c>
    </row>
    <row r="215" spans="1:14" hidden="1">
      <c r="A215" s="108">
        <v>214</v>
      </c>
      <c r="B215" s="56" t="s">
        <v>25</v>
      </c>
      <c r="C215" s="85" t="s">
        <v>1511</v>
      </c>
      <c r="D215" s="56" t="s">
        <v>1512</v>
      </c>
      <c r="E215" s="56">
        <v>6</v>
      </c>
      <c r="F215" s="56" t="s">
        <v>1513</v>
      </c>
      <c r="G215" s="56" t="s">
        <v>85</v>
      </c>
      <c r="H215" s="56" t="s">
        <v>1508</v>
      </c>
      <c r="I215" s="56" t="s">
        <v>693</v>
      </c>
      <c r="J215" t="s">
        <v>425</v>
      </c>
      <c r="K215" s="54" t="s">
        <v>108</v>
      </c>
      <c r="L215" s="54" t="s">
        <v>130</v>
      </c>
      <c r="M215" s="54" t="s">
        <v>110</v>
      </c>
      <c r="N215" s="54" t="s">
        <v>111</v>
      </c>
    </row>
    <row r="216" spans="1:14" hidden="1">
      <c r="A216" s="108">
        <v>215</v>
      </c>
      <c r="B216" s="56" t="s">
        <v>25</v>
      </c>
      <c r="C216" s="85" t="s">
        <v>1192</v>
      </c>
      <c r="D216" s="56" t="s">
        <v>1193</v>
      </c>
      <c r="E216" s="56">
        <v>12</v>
      </c>
      <c r="F216" s="56" t="s">
        <v>276</v>
      </c>
      <c r="G216" s="56" t="s">
        <v>85</v>
      </c>
      <c r="H216" s="56" t="s">
        <v>1508</v>
      </c>
      <c r="I216" s="54" t="s">
        <v>272</v>
      </c>
      <c r="J216" s="54" t="s">
        <v>724</v>
      </c>
      <c r="K216" s="54" t="s">
        <v>135</v>
      </c>
      <c r="L216" s="54" t="s">
        <v>136</v>
      </c>
      <c r="M216" s="54" t="s">
        <v>150</v>
      </c>
      <c r="N216" s="54" t="s">
        <v>117</v>
      </c>
    </row>
    <row r="217" spans="1:14" hidden="1">
      <c r="A217" s="115">
        <v>216</v>
      </c>
      <c r="B217" s="56" t="s">
        <v>25</v>
      </c>
      <c r="C217" s="85" t="s">
        <v>1194</v>
      </c>
      <c r="D217" s="56" t="s">
        <v>1195</v>
      </c>
      <c r="E217" s="56">
        <v>15</v>
      </c>
      <c r="F217" s="56" t="s">
        <v>226</v>
      </c>
      <c r="G217" s="56" t="s">
        <v>85</v>
      </c>
      <c r="H217" s="56" t="s">
        <v>1508</v>
      </c>
      <c r="I217" s="54" t="s">
        <v>1196</v>
      </c>
      <c r="J217" s="54" t="s">
        <v>724</v>
      </c>
      <c r="K217" s="54" t="s">
        <v>135</v>
      </c>
      <c r="L217" s="54" t="s">
        <v>136</v>
      </c>
      <c r="M217" s="54" t="s">
        <v>150</v>
      </c>
      <c r="N217" s="54" t="s">
        <v>111</v>
      </c>
    </row>
    <row r="218" spans="1:14" hidden="1">
      <c r="A218" s="115">
        <v>217</v>
      </c>
      <c r="B218" s="56" t="s">
        <v>25</v>
      </c>
      <c r="C218" s="85" t="s">
        <v>1197</v>
      </c>
      <c r="D218" s="56" t="s">
        <v>1198</v>
      </c>
      <c r="E218" s="56">
        <v>14</v>
      </c>
      <c r="F218" s="56" t="s">
        <v>231</v>
      </c>
      <c r="G218" s="56" t="s">
        <v>85</v>
      </c>
      <c r="H218" s="56" t="s">
        <v>1508</v>
      </c>
      <c r="I218" s="55"/>
      <c r="J218" s="55"/>
      <c r="K218" s="54" t="s">
        <v>1321</v>
      </c>
      <c r="L218" s="54"/>
      <c r="M218" s="54"/>
      <c r="N218" s="54" t="s">
        <v>122</v>
      </c>
    </row>
    <row r="219" spans="1:14" hidden="1">
      <c r="A219" s="108">
        <v>218</v>
      </c>
      <c r="B219" s="56" t="s">
        <v>25</v>
      </c>
      <c r="C219" s="85" t="s">
        <v>1199</v>
      </c>
      <c r="D219" s="56" t="s">
        <v>1200</v>
      </c>
      <c r="E219" s="56">
        <v>14</v>
      </c>
      <c r="F219" s="56" t="s">
        <v>226</v>
      </c>
      <c r="G219" s="56" t="s">
        <v>85</v>
      </c>
      <c r="H219" s="56" t="s">
        <v>1508</v>
      </c>
      <c r="I219" s="54" t="s">
        <v>1201</v>
      </c>
      <c r="J219" s="54" t="s">
        <v>397</v>
      </c>
      <c r="K219" s="54" t="s">
        <v>135</v>
      </c>
      <c r="L219" s="54" t="s">
        <v>136</v>
      </c>
      <c r="M219" s="54" t="s">
        <v>150</v>
      </c>
      <c r="N219" s="54" t="s">
        <v>117</v>
      </c>
    </row>
    <row r="220" spans="1:14">
      <c r="A220" s="108">
        <v>219</v>
      </c>
      <c r="B220" s="56" t="s">
        <v>1295</v>
      </c>
      <c r="C220" s="6" t="s">
        <v>448</v>
      </c>
      <c r="D220" s="88" t="s">
        <v>449</v>
      </c>
      <c r="E220" s="88">
        <v>13</v>
      </c>
      <c r="F220" s="88" t="s">
        <v>226</v>
      </c>
      <c r="G220" s="88" t="s">
        <v>55</v>
      </c>
      <c r="H220" s="88" t="s">
        <v>1514</v>
      </c>
      <c r="I220" s="55"/>
      <c r="J220" s="55"/>
      <c r="K220" s="55" t="s">
        <v>1321</v>
      </c>
      <c r="L220" s="54"/>
      <c r="M220" s="54"/>
      <c r="N220" s="54" t="s">
        <v>122</v>
      </c>
    </row>
    <row r="221" spans="1:14">
      <c r="A221" s="115">
        <v>220</v>
      </c>
      <c r="B221" s="56" t="s">
        <v>1295</v>
      </c>
      <c r="C221" s="85" t="s">
        <v>450</v>
      </c>
      <c r="D221" s="56" t="s">
        <v>451</v>
      </c>
      <c r="E221" s="56">
        <v>10</v>
      </c>
      <c r="F221" s="56" t="s">
        <v>276</v>
      </c>
      <c r="G221" s="88" t="s">
        <v>55</v>
      </c>
      <c r="H221" s="88" t="s">
        <v>1514</v>
      </c>
      <c r="I221" s="54" t="s">
        <v>452</v>
      </c>
      <c r="J221" s="54" t="s">
        <v>228</v>
      </c>
      <c r="K221" s="54" t="s">
        <v>108</v>
      </c>
      <c r="L221" s="54" t="s">
        <v>135</v>
      </c>
      <c r="M221" s="54" t="s">
        <v>136</v>
      </c>
      <c r="N221" s="54" t="s">
        <v>117</v>
      </c>
    </row>
    <row r="222" spans="1:14">
      <c r="A222" s="108">
        <v>221</v>
      </c>
      <c r="B222" s="56" t="s">
        <v>1295</v>
      </c>
      <c r="C222" s="85" t="s">
        <v>453</v>
      </c>
      <c r="D222" s="56" t="s">
        <v>454</v>
      </c>
      <c r="E222" s="56">
        <v>14</v>
      </c>
      <c r="F222" s="56" t="s">
        <v>276</v>
      </c>
      <c r="G222" s="88" t="s">
        <v>55</v>
      </c>
      <c r="H222" s="88" t="s">
        <v>1514</v>
      </c>
      <c r="I222" s="54" t="s">
        <v>455</v>
      </c>
      <c r="J222" s="54" t="s">
        <v>456</v>
      </c>
      <c r="K222" s="54" t="s">
        <v>198</v>
      </c>
      <c r="L222" s="54" t="s">
        <v>135</v>
      </c>
      <c r="M222" s="54" t="s">
        <v>136</v>
      </c>
      <c r="N222" s="54" t="s">
        <v>117</v>
      </c>
    </row>
    <row r="223" spans="1:14">
      <c r="A223" s="115">
        <v>222</v>
      </c>
      <c r="B223" s="56" t="s">
        <v>1295</v>
      </c>
      <c r="C223" s="85" t="s">
        <v>457</v>
      </c>
      <c r="D223" s="56" t="s">
        <v>458</v>
      </c>
      <c r="E223" s="56">
        <v>11</v>
      </c>
      <c r="F223" s="56" t="s">
        <v>226</v>
      </c>
      <c r="G223" s="88" t="s">
        <v>55</v>
      </c>
      <c r="H223" s="88" t="s">
        <v>1514</v>
      </c>
      <c r="I223" s="55"/>
      <c r="J223" s="55"/>
      <c r="K223" s="54" t="s">
        <v>186</v>
      </c>
      <c r="L223" t="s">
        <v>187</v>
      </c>
      <c r="M223" s="54"/>
      <c r="N223" s="54" t="s">
        <v>188</v>
      </c>
    </row>
    <row r="224" spans="1:14">
      <c r="A224" s="115">
        <v>223</v>
      </c>
      <c r="B224" s="56" t="s">
        <v>1295</v>
      </c>
      <c r="C224" s="85" t="s">
        <v>459</v>
      </c>
      <c r="D224" s="56" t="s">
        <v>460</v>
      </c>
      <c r="E224" s="56">
        <v>10</v>
      </c>
      <c r="F224" s="56" t="s">
        <v>276</v>
      </c>
      <c r="G224" s="88" t="s">
        <v>55</v>
      </c>
      <c r="H224" s="88" t="s">
        <v>1514</v>
      </c>
      <c r="I224" s="55"/>
      <c r="J224" s="55"/>
      <c r="K224" s="54" t="s">
        <v>186</v>
      </c>
      <c r="L224" t="s">
        <v>187</v>
      </c>
      <c r="M224" s="54"/>
      <c r="N224" s="54" t="s">
        <v>188</v>
      </c>
    </row>
    <row r="225" spans="1:14">
      <c r="A225" s="108">
        <v>224</v>
      </c>
      <c r="B225" s="56" t="s">
        <v>1295</v>
      </c>
      <c r="C225" s="85" t="s">
        <v>461</v>
      </c>
      <c r="D225" s="56" t="s">
        <v>462</v>
      </c>
      <c r="E225" s="56">
        <v>21</v>
      </c>
      <c r="F225" s="56" t="s">
        <v>226</v>
      </c>
      <c r="G225" s="88" t="s">
        <v>55</v>
      </c>
      <c r="H225" s="88" t="s">
        <v>1514</v>
      </c>
      <c r="I225" s="55"/>
      <c r="J225" s="55"/>
      <c r="K225" t="s">
        <v>1313</v>
      </c>
      <c r="L225" t="s">
        <v>1313</v>
      </c>
      <c r="M225" s="54"/>
      <c r="N225" s="54" t="s">
        <v>16</v>
      </c>
    </row>
    <row r="226" spans="1:14">
      <c r="A226" s="108">
        <v>225</v>
      </c>
      <c r="B226" s="56" t="s">
        <v>1295</v>
      </c>
      <c r="C226" s="85" t="s">
        <v>463</v>
      </c>
      <c r="D226" s="56" t="s">
        <v>464</v>
      </c>
      <c r="E226" s="89">
        <v>22</v>
      </c>
      <c r="F226" s="56" t="s">
        <v>159</v>
      </c>
      <c r="G226" s="88" t="s">
        <v>55</v>
      </c>
      <c r="H226" s="88" t="s">
        <v>1514</v>
      </c>
      <c r="I226" s="55"/>
      <c r="J226" s="55"/>
      <c r="K226" t="s">
        <v>1313</v>
      </c>
      <c r="L226" t="s">
        <v>1313</v>
      </c>
      <c r="M226" s="54"/>
      <c r="N226" s="54" t="s">
        <v>16</v>
      </c>
    </row>
    <row r="227" spans="1:14">
      <c r="A227" s="115">
        <v>226</v>
      </c>
      <c r="B227" s="56" t="s">
        <v>1295</v>
      </c>
      <c r="C227" s="85" t="s">
        <v>465</v>
      </c>
      <c r="D227" s="56" t="s">
        <v>466</v>
      </c>
      <c r="E227" s="56">
        <v>20</v>
      </c>
      <c r="F227" s="56" t="s">
        <v>159</v>
      </c>
      <c r="G227" s="88" t="s">
        <v>55</v>
      </c>
      <c r="H227" s="88" t="s">
        <v>1514</v>
      </c>
      <c r="I227" s="55"/>
      <c r="J227" s="55"/>
      <c r="K227" t="s">
        <v>1313</v>
      </c>
      <c r="L227" t="s">
        <v>1313</v>
      </c>
      <c r="M227" s="54"/>
      <c r="N227" s="54" t="s">
        <v>16</v>
      </c>
    </row>
    <row r="228" spans="1:14">
      <c r="A228" s="115">
        <v>227</v>
      </c>
      <c r="B228" s="56" t="s">
        <v>1295</v>
      </c>
      <c r="C228" s="85" t="s">
        <v>467</v>
      </c>
      <c r="D228" s="56" t="s">
        <v>468</v>
      </c>
      <c r="E228" s="56">
        <v>25</v>
      </c>
      <c r="F228" s="56" t="s">
        <v>226</v>
      </c>
      <c r="G228" s="88" t="s">
        <v>55</v>
      </c>
      <c r="H228" s="88" t="s">
        <v>1514</v>
      </c>
      <c r="I228" s="55"/>
      <c r="J228" s="55"/>
      <c r="K228" s="54" t="s">
        <v>186</v>
      </c>
      <c r="L228" t="s">
        <v>187</v>
      </c>
      <c r="M228" s="54"/>
      <c r="N228" s="54" t="s">
        <v>188</v>
      </c>
    </row>
    <row r="229" spans="1:14">
      <c r="A229" s="108">
        <v>228</v>
      </c>
      <c r="B229" s="56" t="s">
        <v>1295</v>
      </c>
      <c r="C229" s="85" t="s">
        <v>469</v>
      </c>
      <c r="D229" s="56" t="s">
        <v>470</v>
      </c>
      <c r="E229" s="56">
        <v>23</v>
      </c>
      <c r="F229" s="56" t="s">
        <v>226</v>
      </c>
      <c r="G229" s="88" t="s">
        <v>55</v>
      </c>
      <c r="H229" s="88" t="s">
        <v>1514</v>
      </c>
      <c r="I229" s="55"/>
      <c r="J229" s="55"/>
      <c r="K229" s="54" t="s">
        <v>1321</v>
      </c>
      <c r="L229" s="54"/>
      <c r="M229" s="54"/>
      <c r="N229" s="54" t="s">
        <v>122</v>
      </c>
    </row>
    <row r="230" spans="1:14">
      <c r="A230" s="108">
        <v>229</v>
      </c>
      <c r="B230" s="56" t="s">
        <v>1295</v>
      </c>
      <c r="C230" s="85" t="s">
        <v>471</v>
      </c>
      <c r="D230" s="56" t="s">
        <v>472</v>
      </c>
      <c r="E230" s="56">
        <v>35</v>
      </c>
      <c r="F230" s="56" t="s">
        <v>226</v>
      </c>
      <c r="G230" s="88" t="s">
        <v>55</v>
      </c>
      <c r="H230" s="88" t="s">
        <v>1514</v>
      </c>
      <c r="I230" s="55"/>
      <c r="J230" s="55"/>
      <c r="K230" s="54" t="s">
        <v>1321</v>
      </c>
      <c r="L230" s="54"/>
      <c r="M230" s="54"/>
      <c r="N230" s="54" t="s">
        <v>122</v>
      </c>
    </row>
    <row r="231" spans="1:14">
      <c r="A231" s="115">
        <v>230</v>
      </c>
      <c r="B231" s="56" t="s">
        <v>1295</v>
      </c>
      <c r="C231" s="85" t="s">
        <v>473</v>
      </c>
      <c r="D231" s="56" t="s">
        <v>474</v>
      </c>
      <c r="E231" s="56">
        <v>8</v>
      </c>
      <c r="F231" s="56" t="s">
        <v>475</v>
      </c>
      <c r="G231" s="88" t="s">
        <v>55</v>
      </c>
      <c r="H231" s="88" t="s">
        <v>1514</v>
      </c>
      <c r="I231" s="54" t="s">
        <v>476</v>
      </c>
      <c r="J231" s="54" t="s">
        <v>264</v>
      </c>
      <c r="K231" s="54" t="s">
        <v>108</v>
      </c>
      <c r="L231" s="54" t="s">
        <v>135</v>
      </c>
      <c r="M231" s="54" t="s">
        <v>136</v>
      </c>
      <c r="N231" s="54" t="s">
        <v>162</v>
      </c>
    </row>
    <row r="232" spans="1:14">
      <c r="A232" s="108">
        <v>231</v>
      </c>
      <c r="B232" s="56" t="s">
        <v>1295</v>
      </c>
      <c r="C232" s="85" t="s">
        <v>477</v>
      </c>
      <c r="D232" s="56" t="s">
        <v>478</v>
      </c>
      <c r="E232" s="56">
        <v>17</v>
      </c>
      <c r="F232" s="56" t="s">
        <v>226</v>
      </c>
      <c r="G232" s="88" t="s">
        <v>55</v>
      </c>
      <c r="H232" s="88" t="s">
        <v>1514</v>
      </c>
      <c r="I232" s="54" t="s">
        <v>479</v>
      </c>
      <c r="J232" s="54" t="s">
        <v>456</v>
      </c>
      <c r="K232" s="54" t="s">
        <v>198</v>
      </c>
      <c r="L232" s="54" t="s">
        <v>135</v>
      </c>
      <c r="M232" s="54" t="s">
        <v>136</v>
      </c>
      <c r="N232" s="54" t="s">
        <v>162</v>
      </c>
    </row>
    <row r="233" spans="1:14">
      <c r="A233" s="115">
        <v>232</v>
      </c>
      <c r="B233" s="56" t="s">
        <v>1295</v>
      </c>
      <c r="C233" s="85" t="s">
        <v>1515</v>
      </c>
      <c r="D233" s="56" t="s">
        <v>1516</v>
      </c>
      <c r="E233" s="56">
        <v>9</v>
      </c>
      <c r="F233" s="56" t="s">
        <v>276</v>
      </c>
      <c r="G233" s="88" t="s">
        <v>55</v>
      </c>
      <c r="H233" s="88" t="s">
        <v>1514</v>
      </c>
      <c r="I233" s="56"/>
      <c r="K233" t="s">
        <v>1313</v>
      </c>
      <c r="L233" t="s">
        <v>1313</v>
      </c>
      <c r="M233" s="54"/>
      <c r="N233" s="54" t="s">
        <v>16</v>
      </c>
    </row>
    <row r="234" spans="1:14">
      <c r="A234" s="115">
        <v>233</v>
      </c>
      <c r="B234" s="56" t="s">
        <v>1295</v>
      </c>
      <c r="C234" s="85" t="s">
        <v>480</v>
      </c>
      <c r="D234" s="56" t="s">
        <v>481</v>
      </c>
      <c r="E234" s="56">
        <v>22</v>
      </c>
      <c r="F234" s="56" t="s">
        <v>482</v>
      </c>
      <c r="G234" s="88" t="s">
        <v>55</v>
      </c>
      <c r="H234" s="88" t="s">
        <v>1514</v>
      </c>
      <c r="I234" s="55"/>
      <c r="J234" s="55"/>
      <c r="K234" t="s">
        <v>1313</v>
      </c>
      <c r="L234" t="s">
        <v>1313</v>
      </c>
      <c r="M234" s="54"/>
      <c r="N234" s="54" t="s">
        <v>16</v>
      </c>
    </row>
    <row r="235" spans="1:14">
      <c r="A235" s="108">
        <v>234</v>
      </c>
      <c r="B235" s="56" t="s">
        <v>1295</v>
      </c>
      <c r="C235" s="85" t="s">
        <v>483</v>
      </c>
      <c r="D235" s="56" t="s">
        <v>484</v>
      </c>
      <c r="E235" s="56">
        <v>20</v>
      </c>
      <c r="F235" s="56" t="s">
        <v>226</v>
      </c>
      <c r="G235" s="88" t="s">
        <v>55</v>
      </c>
      <c r="H235" s="88" t="s">
        <v>1514</v>
      </c>
      <c r="I235" s="55"/>
      <c r="J235" s="55"/>
      <c r="K235" t="s">
        <v>1313</v>
      </c>
      <c r="L235" t="s">
        <v>1313</v>
      </c>
      <c r="M235" s="54"/>
      <c r="N235" s="54" t="s">
        <v>16</v>
      </c>
    </row>
    <row r="236" spans="1:14">
      <c r="A236" s="108">
        <v>235</v>
      </c>
      <c r="B236" s="56" t="s">
        <v>1295</v>
      </c>
      <c r="C236" s="85" t="s">
        <v>485</v>
      </c>
      <c r="D236" s="56" t="s">
        <v>486</v>
      </c>
      <c r="E236" s="56">
        <v>22</v>
      </c>
      <c r="F236" s="56" t="s">
        <v>276</v>
      </c>
      <c r="G236" s="88" t="s">
        <v>55</v>
      </c>
      <c r="H236" s="88" t="s">
        <v>1514</v>
      </c>
      <c r="I236" s="55"/>
      <c r="J236" s="55"/>
      <c r="K236" s="54" t="s">
        <v>186</v>
      </c>
      <c r="L236" t="s">
        <v>187</v>
      </c>
      <c r="M236" s="54"/>
      <c r="N236" s="54" t="s">
        <v>188</v>
      </c>
    </row>
    <row r="237" spans="1:14">
      <c r="A237" s="115">
        <v>236</v>
      </c>
      <c r="B237" s="56" t="s">
        <v>1295</v>
      </c>
      <c r="C237" s="85" t="s">
        <v>492</v>
      </c>
      <c r="D237" s="56" t="s">
        <v>493</v>
      </c>
      <c r="E237" s="56">
        <v>19</v>
      </c>
      <c r="F237" s="56" t="s">
        <v>226</v>
      </c>
      <c r="G237" s="88" t="s">
        <v>55</v>
      </c>
      <c r="H237" s="88" t="s">
        <v>1514</v>
      </c>
      <c r="I237" s="55"/>
      <c r="J237" s="55"/>
      <c r="K237" s="54" t="s">
        <v>1321</v>
      </c>
      <c r="L237" s="54"/>
      <c r="M237" s="54"/>
      <c r="N237" s="54" t="s">
        <v>122</v>
      </c>
    </row>
    <row r="238" spans="1:14">
      <c r="A238" s="115">
        <v>237</v>
      </c>
      <c r="B238" s="56" t="s">
        <v>1295</v>
      </c>
      <c r="C238" s="85" t="s">
        <v>494</v>
      </c>
      <c r="D238" s="56" t="s">
        <v>495</v>
      </c>
      <c r="E238" s="56">
        <v>20</v>
      </c>
      <c r="F238" s="56" t="s">
        <v>159</v>
      </c>
      <c r="G238" s="88" t="s">
        <v>55</v>
      </c>
      <c r="H238" s="88" t="s">
        <v>1514</v>
      </c>
      <c r="I238" s="55"/>
      <c r="J238" s="55"/>
      <c r="K238" s="54" t="s">
        <v>186</v>
      </c>
      <c r="L238" t="s">
        <v>187</v>
      </c>
      <c r="M238" s="54"/>
      <c r="N238" s="54" t="s">
        <v>188</v>
      </c>
    </row>
    <row r="239" spans="1:14">
      <c r="A239" s="108">
        <v>238</v>
      </c>
      <c r="B239" s="56" t="s">
        <v>1295</v>
      </c>
      <c r="C239" s="85" t="s">
        <v>496</v>
      </c>
      <c r="D239" s="56" t="s">
        <v>497</v>
      </c>
      <c r="E239" s="56">
        <v>6</v>
      </c>
      <c r="F239" s="56" t="s">
        <v>226</v>
      </c>
      <c r="G239" s="88" t="s">
        <v>55</v>
      </c>
      <c r="H239" s="88" t="s">
        <v>1514</v>
      </c>
      <c r="I239" s="54" t="s">
        <v>498</v>
      </c>
      <c r="J239" s="54" t="s">
        <v>499</v>
      </c>
      <c r="K239" s="54" t="s">
        <v>108</v>
      </c>
      <c r="L239" s="54" t="s">
        <v>130</v>
      </c>
      <c r="M239" t="s">
        <v>110</v>
      </c>
      <c r="N239" s="54" t="s">
        <v>162</v>
      </c>
    </row>
    <row r="240" spans="1:14">
      <c r="A240" s="108">
        <v>239</v>
      </c>
      <c r="B240" s="56" t="s">
        <v>1295</v>
      </c>
      <c r="C240" s="85" t="s">
        <v>500</v>
      </c>
      <c r="D240" s="56" t="s">
        <v>501</v>
      </c>
      <c r="E240" s="56">
        <v>24</v>
      </c>
      <c r="F240" s="56" t="s">
        <v>159</v>
      </c>
      <c r="G240" s="88" t="s">
        <v>55</v>
      </c>
      <c r="H240" s="88" t="s">
        <v>1514</v>
      </c>
      <c r="I240" s="55"/>
      <c r="J240" s="55"/>
      <c r="K240" s="54" t="s">
        <v>186</v>
      </c>
      <c r="L240" t="s">
        <v>187</v>
      </c>
      <c r="M240" s="54"/>
      <c r="N240" s="54" t="s">
        <v>188</v>
      </c>
    </row>
    <row r="241" spans="1:14">
      <c r="A241" s="115">
        <v>240</v>
      </c>
      <c r="B241" s="56" t="s">
        <v>1295</v>
      </c>
      <c r="C241" s="85" t="s">
        <v>502</v>
      </c>
      <c r="D241" s="56" t="s">
        <v>503</v>
      </c>
      <c r="E241" s="56">
        <v>15</v>
      </c>
      <c r="F241" s="56" t="s">
        <v>504</v>
      </c>
      <c r="G241" s="88" t="s">
        <v>55</v>
      </c>
      <c r="H241" s="88" t="s">
        <v>1514</v>
      </c>
      <c r="I241" s="54" t="s">
        <v>479</v>
      </c>
      <c r="J241" s="54" t="s">
        <v>397</v>
      </c>
      <c r="K241" s="54" t="s">
        <v>135</v>
      </c>
      <c r="L241" s="54" t="s">
        <v>136</v>
      </c>
      <c r="M241" s="54" t="s">
        <v>150</v>
      </c>
      <c r="N241" s="54" t="s">
        <v>111</v>
      </c>
    </row>
    <row r="242" spans="1:14">
      <c r="A242" s="108">
        <v>241</v>
      </c>
      <c r="B242" s="56" t="s">
        <v>1295</v>
      </c>
      <c r="C242" s="85" t="s">
        <v>505</v>
      </c>
      <c r="D242" s="56" t="s">
        <v>506</v>
      </c>
      <c r="E242" s="56">
        <v>30</v>
      </c>
      <c r="F242" s="56" t="s">
        <v>226</v>
      </c>
      <c r="G242" s="88" t="s">
        <v>55</v>
      </c>
      <c r="H242" s="88" t="s">
        <v>1514</v>
      </c>
      <c r="I242" s="55"/>
      <c r="J242" s="55"/>
      <c r="K242" s="54" t="s">
        <v>186</v>
      </c>
      <c r="L242" t="s">
        <v>187</v>
      </c>
      <c r="M242" s="54"/>
      <c r="N242" s="54" t="s">
        <v>188</v>
      </c>
    </row>
    <row r="243" spans="1:14">
      <c r="A243" s="115">
        <v>242</v>
      </c>
      <c r="B243" s="56" t="s">
        <v>1295</v>
      </c>
      <c r="C243" s="85" t="s">
        <v>507</v>
      </c>
      <c r="D243" s="56" t="s">
        <v>508</v>
      </c>
      <c r="E243" s="56">
        <v>15</v>
      </c>
      <c r="F243" s="56" t="s">
        <v>509</v>
      </c>
      <c r="G243" s="56" t="s">
        <v>56</v>
      </c>
      <c r="H243" s="56" t="s">
        <v>1517</v>
      </c>
      <c r="I243" s="90" t="s">
        <v>1518</v>
      </c>
      <c r="J243" t="s">
        <v>107</v>
      </c>
      <c r="K243" s="54" t="s">
        <v>198</v>
      </c>
      <c r="L243" s="54" t="s">
        <v>135</v>
      </c>
      <c r="M243" s="54" t="s">
        <v>136</v>
      </c>
      <c r="N243" s="54" t="s">
        <v>162</v>
      </c>
    </row>
    <row r="244" spans="1:14">
      <c r="A244" s="115">
        <v>243</v>
      </c>
      <c r="B244" s="56" t="s">
        <v>1295</v>
      </c>
      <c r="C244" s="85" t="s">
        <v>510</v>
      </c>
      <c r="D244" s="56" t="s">
        <v>511</v>
      </c>
      <c r="E244" s="56">
        <v>8</v>
      </c>
      <c r="F244" s="56" t="s">
        <v>226</v>
      </c>
      <c r="G244" s="56" t="s">
        <v>56</v>
      </c>
      <c r="H244" s="56" t="s">
        <v>1517</v>
      </c>
      <c r="I244" s="54" t="s">
        <v>512</v>
      </c>
      <c r="J244" s="54" t="s">
        <v>513</v>
      </c>
      <c r="K244" s="54" t="s">
        <v>108</v>
      </c>
      <c r="L244" s="54" t="s">
        <v>130</v>
      </c>
      <c r="M244" t="s">
        <v>110</v>
      </c>
      <c r="N244" s="54" t="s">
        <v>162</v>
      </c>
    </row>
    <row r="245" spans="1:14">
      <c r="A245" s="108">
        <v>244</v>
      </c>
      <c r="B245" s="56" t="s">
        <v>1295</v>
      </c>
      <c r="C245" s="85" t="s">
        <v>514</v>
      </c>
      <c r="D245" s="56" t="s">
        <v>515</v>
      </c>
      <c r="E245" s="56">
        <v>13</v>
      </c>
      <c r="F245" s="56" t="s">
        <v>516</v>
      </c>
      <c r="G245" s="56" t="s">
        <v>56</v>
      </c>
      <c r="H245" s="56" t="s">
        <v>1517</v>
      </c>
      <c r="I245" s="54" t="s">
        <v>517</v>
      </c>
      <c r="J245" s="54" t="s">
        <v>149</v>
      </c>
      <c r="K245" s="54" t="s">
        <v>135</v>
      </c>
      <c r="L245" s="54" t="s">
        <v>136</v>
      </c>
      <c r="M245" s="54" t="s">
        <v>150</v>
      </c>
      <c r="N245" s="54" t="s">
        <v>111</v>
      </c>
    </row>
    <row r="246" spans="1:14">
      <c r="A246" s="108">
        <v>245</v>
      </c>
      <c r="B246" s="56" t="s">
        <v>1295</v>
      </c>
      <c r="C246" s="85" t="s">
        <v>518</v>
      </c>
      <c r="D246" s="56" t="s">
        <v>519</v>
      </c>
      <c r="E246" s="56">
        <v>17</v>
      </c>
      <c r="F246" s="56" t="s">
        <v>102</v>
      </c>
      <c r="G246" s="56" t="s">
        <v>56</v>
      </c>
      <c r="H246" s="56" t="s">
        <v>1517</v>
      </c>
      <c r="I246" s="54" t="s">
        <v>520</v>
      </c>
      <c r="J246" s="54" t="s">
        <v>521</v>
      </c>
      <c r="K246" s="54" t="s">
        <v>108</v>
      </c>
      <c r="L246" s="54" t="s">
        <v>135</v>
      </c>
      <c r="M246" s="54" t="s">
        <v>136</v>
      </c>
      <c r="N246" s="54" t="s">
        <v>111</v>
      </c>
    </row>
    <row r="247" spans="1:14">
      <c r="A247" s="115">
        <v>246</v>
      </c>
      <c r="B247" s="56" t="s">
        <v>20</v>
      </c>
      <c r="C247" s="130" t="s">
        <v>1062</v>
      </c>
      <c r="D247" s="131" t="s">
        <v>1063</v>
      </c>
      <c r="E247" s="56">
        <v>19</v>
      </c>
      <c r="F247" s="56" t="s">
        <v>102</v>
      </c>
      <c r="G247" s="56" t="s">
        <v>82</v>
      </c>
      <c r="H247" s="56" t="s">
        <v>1519</v>
      </c>
      <c r="I247" s="56" t="s">
        <v>1520</v>
      </c>
      <c r="J247" t="s">
        <v>564</v>
      </c>
      <c r="K247" s="54" t="s">
        <v>108</v>
      </c>
      <c r="L247" s="54" t="s">
        <v>130</v>
      </c>
      <c r="M247" s="54" t="s">
        <v>110</v>
      </c>
      <c r="N247" s="54" t="s">
        <v>111</v>
      </c>
    </row>
    <row r="248" spans="1:14">
      <c r="A248" s="115">
        <v>247</v>
      </c>
      <c r="B248" s="56" t="s">
        <v>20</v>
      </c>
      <c r="C248" s="130" t="s">
        <v>1064</v>
      </c>
      <c r="D248" s="131" t="s">
        <v>1065</v>
      </c>
      <c r="E248" s="56">
        <v>14</v>
      </c>
      <c r="F248" s="56" t="s">
        <v>402</v>
      </c>
      <c r="G248" s="56" t="s">
        <v>82</v>
      </c>
      <c r="H248" s="56" t="s">
        <v>1519</v>
      </c>
      <c r="I248" s="56" t="s">
        <v>1521</v>
      </c>
      <c r="J248" t="s">
        <v>179</v>
      </c>
      <c r="K248" s="54" t="s">
        <v>108</v>
      </c>
      <c r="L248" s="54" t="s">
        <v>130</v>
      </c>
      <c r="M248" s="54" t="s">
        <v>110</v>
      </c>
      <c r="N248" s="54" t="s">
        <v>111</v>
      </c>
    </row>
    <row r="249" spans="1:14">
      <c r="A249" s="108">
        <v>248</v>
      </c>
      <c r="B249" s="56" t="s">
        <v>20</v>
      </c>
      <c r="C249" s="130" t="s">
        <v>1066</v>
      </c>
      <c r="D249" s="131" t="s">
        <v>1067</v>
      </c>
      <c r="E249" s="56">
        <v>13</v>
      </c>
      <c r="F249" s="56" t="s">
        <v>1068</v>
      </c>
      <c r="G249" s="56" t="s">
        <v>82</v>
      </c>
      <c r="H249" s="56" t="s">
        <v>1519</v>
      </c>
      <c r="I249" s="54" t="s">
        <v>1069</v>
      </c>
      <c r="J249" s="54" t="s">
        <v>1070</v>
      </c>
      <c r="K249" s="54" t="s">
        <v>108</v>
      </c>
      <c r="L249" s="54" t="s">
        <v>135</v>
      </c>
      <c r="M249" s="54" t="s">
        <v>136</v>
      </c>
      <c r="N249" s="54" t="s">
        <v>111</v>
      </c>
    </row>
    <row r="250" spans="1:14">
      <c r="A250" s="108">
        <v>249</v>
      </c>
      <c r="B250" s="56" t="s">
        <v>20</v>
      </c>
      <c r="C250" s="130" t="s">
        <v>1071</v>
      </c>
      <c r="D250" s="131" t="s">
        <v>1072</v>
      </c>
      <c r="E250" s="56">
        <v>9</v>
      </c>
      <c r="F250" s="56" t="s">
        <v>177</v>
      </c>
      <c r="G250" s="56" t="s">
        <v>82</v>
      </c>
      <c r="H250" s="56" t="s">
        <v>1519</v>
      </c>
      <c r="I250" s="56" t="s">
        <v>178</v>
      </c>
      <c r="J250" t="s">
        <v>959</v>
      </c>
      <c r="K250" s="54" t="s">
        <v>108</v>
      </c>
      <c r="L250" s="54" t="s">
        <v>130</v>
      </c>
      <c r="M250" s="54" t="s">
        <v>110</v>
      </c>
      <c r="N250" s="54" t="s">
        <v>117</v>
      </c>
    </row>
    <row r="251" spans="1:14">
      <c r="A251" s="115">
        <v>250</v>
      </c>
      <c r="B251" s="56" t="s">
        <v>20</v>
      </c>
      <c r="C251" s="130" t="s">
        <v>1073</v>
      </c>
      <c r="D251" s="131" t="s">
        <v>1074</v>
      </c>
      <c r="E251" s="56">
        <v>13</v>
      </c>
      <c r="F251" s="56" t="s">
        <v>102</v>
      </c>
      <c r="G251" s="56" t="s">
        <v>82</v>
      </c>
      <c r="H251" s="56" t="s">
        <v>1519</v>
      </c>
      <c r="I251" s="54" t="s">
        <v>1075</v>
      </c>
      <c r="J251" s="54" t="s">
        <v>1076</v>
      </c>
      <c r="K251" s="54" t="s">
        <v>108</v>
      </c>
      <c r="L251" s="54" t="s">
        <v>109</v>
      </c>
      <c r="M251" s="54" t="s">
        <v>110</v>
      </c>
      <c r="N251" s="54" t="s">
        <v>298</v>
      </c>
    </row>
    <row r="252" spans="1:14">
      <c r="A252" s="108">
        <v>251</v>
      </c>
      <c r="B252" s="56" t="s">
        <v>20</v>
      </c>
      <c r="C252" s="130" t="s">
        <v>1103</v>
      </c>
      <c r="D252" s="131" t="s">
        <v>1104</v>
      </c>
      <c r="E252" s="56">
        <v>21</v>
      </c>
      <c r="F252" s="56" t="s">
        <v>1105</v>
      </c>
      <c r="G252" s="56" t="s">
        <v>82</v>
      </c>
      <c r="H252" s="56" t="s">
        <v>1519</v>
      </c>
      <c r="I252" s="54" t="s">
        <v>557</v>
      </c>
      <c r="J252" s="54" t="s">
        <v>1106</v>
      </c>
      <c r="K252" s="54" t="s">
        <v>108</v>
      </c>
      <c r="L252" s="54" t="s">
        <v>130</v>
      </c>
      <c r="M252" s="54" t="s">
        <v>110</v>
      </c>
      <c r="N252" s="54" t="s">
        <v>117</v>
      </c>
    </row>
    <row r="253" spans="1:14">
      <c r="A253" s="115">
        <v>252</v>
      </c>
      <c r="B253" s="56" t="s">
        <v>20</v>
      </c>
      <c r="C253" s="130" t="s">
        <v>1107</v>
      </c>
      <c r="D253" s="131" t="s">
        <v>1108</v>
      </c>
      <c r="E253" s="56">
        <v>12</v>
      </c>
      <c r="F253" s="56" t="s">
        <v>102</v>
      </c>
      <c r="G253" s="56" t="s">
        <v>82</v>
      </c>
      <c r="H253" s="56" t="s">
        <v>1519</v>
      </c>
      <c r="I253" s="54" t="s">
        <v>1109</v>
      </c>
      <c r="J253" s="54" t="s">
        <v>955</v>
      </c>
      <c r="K253" s="54" t="s">
        <v>108</v>
      </c>
      <c r="L253" s="54" t="s">
        <v>109</v>
      </c>
      <c r="M253" s="54" t="s">
        <v>110</v>
      </c>
      <c r="N253" s="54" t="s">
        <v>293</v>
      </c>
    </row>
    <row r="254" spans="1:14">
      <c r="A254" s="115">
        <v>253</v>
      </c>
      <c r="B254" s="56" t="s">
        <v>20</v>
      </c>
      <c r="C254" s="130" t="s">
        <v>1077</v>
      </c>
      <c r="D254" s="131" t="s">
        <v>1078</v>
      </c>
      <c r="E254" s="56">
        <v>20</v>
      </c>
      <c r="F254" s="56" t="s">
        <v>102</v>
      </c>
      <c r="G254" s="56" t="s">
        <v>82</v>
      </c>
      <c r="H254" s="56" t="s">
        <v>1519</v>
      </c>
      <c r="I254" s="54" t="s">
        <v>1079</v>
      </c>
      <c r="J254" s="54" t="s">
        <v>384</v>
      </c>
      <c r="K254" s="54" t="s">
        <v>108</v>
      </c>
      <c r="L254" s="54" t="s">
        <v>135</v>
      </c>
      <c r="M254" s="54" t="s">
        <v>136</v>
      </c>
      <c r="N254" s="54" t="s">
        <v>111</v>
      </c>
    </row>
    <row r="255" spans="1:14">
      <c r="A255" s="108">
        <v>254</v>
      </c>
      <c r="B255" s="56" t="s">
        <v>20</v>
      </c>
      <c r="C255" s="130" t="s">
        <v>1522</v>
      </c>
      <c r="D255" s="131" t="s">
        <v>1523</v>
      </c>
      <c r="E255" s="56">
        <v>7</v>
      </c>
      <c r="F255" s="56" t="s">
        <v>177</v>
      </c>
      <c r="G255" s="56" t="s">
        <v>82</v>
      </c>
      <c r="H255" s="56" t="s">
        <v>1519</v>
      </c>
      <c r="I255" s="56" t="s">
        <v>1524</v>
      </c>
      <c r="J255" t="s">
        <v>179</v>
      </c>
      <c r="K255" s="54" t="s">
        <v>108</v>
      </c>
      <c r="L255" s="54" t="s">
        <v>130</v>
      </c>
      <c r="M255" s="54" t="s">
        <v>110</v>
      </c>
      <c r="N255" s="54" t="s">
        <v>117</v>
      </c>
    </row>
    <row r="256" spans="1:14">
      <c r="A256" s="108">
        <v>255</v>
      </c>
      <c r="B256" s="56" t="s">
        <v>20</v>
      </c>
      <c r="C256" s="130" t="s">
        <v>1080</v>
      </c>
      <c r="D256" s="131" t="s">
        <v>1081</v>
      </c>
      <c r="E256" s="56">
        <v>26</v>
      </c>
      <c r="F256" s="56" t="s">
        <v>102</v>
      </c>
      <c r="G256" s="56" t="s">
        <v>82</v>
      </c>
      <c r="H256" s="56" t="s">
        <v>1519</v>
      </c>
      <c r="I256" s="54" t="s">
        <v>1082</v>
      </c>
      <c r="J256" s="54" t="s">
        <v>1083</v>
      </c>
      <c r="K256" s="54" t="s">
        <v>108</v>
      </c>
      <c r="L256" s="54" t="s">
        <v>135</v>
      </c>
      <c r="M256" s="54" t="s">
        <v>136</v>
      </c>
      <c r="N256" s="54" t="s">
        <v>111</v>
      </c>
    </row>
    <row r="257" spans="1:14">
      <c r="A257" s="115">
        <v>256</v>
      </c>
      <c r="B257" s="56" t="s">
        <v>20</v>
      </c>
      <c r="C257" s="130" t="s">
        <v>1113</v>
      </c>
      <c r="D257" s="131" t="s">
        <v>1114</v>
      </c>
      <c r="E257" s="56">
        <v>12</v>
      </c>
      <c r="F257" s="56" t="s">
        <v>102</v>
      </c>
      <c r="G257" s="56" t="s">
        <v>82</v>
      </c>
      <c r="H257" s="56" t="s">
        <v>1519</v>
      </c>
      <c r="I257" s="54" t="s">
        <v>1115</v>
      </c>
      <c r="J257" s="54" t="s">
        <v>1116</v>
      </c>
      <c r="K257" s="54" t="s">
        <v>108</v>
      </c>
      <c r="L257" s="54" t="s">
        <v>130</v>
      </c>
      <c r="M257" s="54" t="s">
        <v>110</v>
      </c>
      <c r="N257" s="54" t="s">
        <v>293</v>
      </c>
    </row>
    <row r="258" spans="1:14">
      <c r="A258" s="115">
        <v>257</v>
      </c>
      <c r="B258" s="56" t="s">
        <v>20</v>
      </c>
      <c r="C258" s="130" t="s">
        <v>1096</v>
      </c>
      <c r="D258" s="131" t="s">
        <v>1097</v>
      </c>
      <c r="E258" s="56">
        <v>7</v>
      </c>
      <c r="F258" s="56" t="s">
        <v>159</v>
      </c>
      <c r="G258" s="56" t="s">
        <v>82</v>
      </c>
      <c r="H258" s="56" t="s">
        <v>1519</v>
      </c>
      <c r="I258" s="54" t="s">
        <v>1098</v>
      </c>
      <c r="J258" s="54" t="s">
        <v>1099</v>
      </c>
      <c r="K258" s="54" t="s">
        <v>116</v>
      </c>
      <c r="L258" s="54" t="s">
        <v>109</v>
      </c>
      <c r="M258" s="54" t="s">
        <v>110</v>
      </c>
      <c r="N258" s="54" t="s">
        <v>117</v>
      </c>
    </row>
    <row r="259" spans="1:14">
      <c r="A259" s="108">
        <v>258</v>
      </c>
      <c r="B259" s="56" t="s">
        <v>20</v>
      </c>
      <c r="C259" s="130" t="s">
        <v>1119</v>
      </c>
      <c r="D259" s="131" t="s">
        <v>1120</v>
      </c>
      <c r="E259" s="56">
        <v>24</v>
      </c>
      <c r="F259" s="56" t="s">
        <v>287</v>
      </c>
      <c r="G259" s="56" t="s">
        <v>82</v>
      </c>
      <c r="H259" s="56" t="s">
        <v>1519</v>
      </c>
      <c r="I259" s="54" t="s">
        <v>1121</v>
      </c>
      <c r="J259" s="54" t="s">
        <v>1122</v>
      </c>
      <c r="K259" s="54" t="s">
        <v>116</v>
      </c>
      <c r="L259" s="54" t="s">
        <v>109</v>
      </c>
      <c r="M259" s="54" t="s">
        <v>110</v>
      </c>
      <c r="N259" s="54" t="s">
        <v>117</v>
      </c>
    </row>
    <row r="260" spans="1:14">
      <c r="A260" s="108">
        <v>259</v>
      </c>
      <c r="B260" s="56" t="s">
        <v>20</v>
      </c>
      <c r="C260" s="130" t="s">
        <v>1123</v>
      </c>
      <c r="D260" s="131" t="s">
        <v>1124</v>
      </c>
      <c r="E260" s="56">
        <v>8</v>
      </c>
      <c r="F260" s="56" t="s">
        <v>102</v>
      </c>
      <c r="G260" s="56" t="s">
        <v>82</v>
      </c>
      <c r="H260" s="56" t="s">
        <v>1519</v>
      </c>
      <c r="I260" s="54" t="s">
        <v>1125</v>
      </c>
      <c r="J260" s="54" t="s">
        <v>564</v>
      </c>
      <c r="K260" s="54" t="s">
        <v>108</v>
      </c>
      <c r="L260" s="54" t="s">
        <v>130</v>
      </c>
      <c r="M260" s="54" t="s">
        <v>110</v>
      </c>
      <c r="N260" s="54" t="s">
        <v>293</v>
      </c>
    </row>
    <row r="261" spans="1:14">
      <c r="A261" s="115">
        <v>260</v>
      </c>
      <c r="B261" s="56" t="s">
        <v>20</v>
      </c>
      <c r="C261" s="130" t="s">
        <v>1084</v>
      </c>
      <c r="D261" s="131" t="s">
        <v>1085</v>
      </c>
      <c r="E261" s="56">
        <v>22</v>
      </c>
      <c r="F261" s="56" t="s">
        <v>102</v>
      </c>
      <c r="G261" s="56" t="s">
        <v>82</v>
      </c>
      <c r="H261" s="56" t="s">
        <v>1519</v>
      </c>
      <c r="I261" s="54" t="s">
        <v>1086</v>
      </c>
      <c r="J261" s="54" t="s">
        <v>1087</v>
      </c>
      <c r="K261" s="54" t="s">
        <v>108</v>
      </c>
      <c r="L261" s="54" t="s">
        <v>135</v>
      </c>
      <c r="M261" s="54" t="s">
        <v>136</v>
      </c>
      <c r="N261" s="54" t="s">
        <v>111</v>
      </c>
    </row>
    <row r="262" spans="1:14">
      <c r="A262" s="108">
        <v>261</v>
      </c>
      <c r="B262" s="56" t="s">
        <v>20</v>
      </c>
      <c r="C262" s="130" t="s">
        <v>1525</v>
      </c>
      <c r="D262" s="131" t="s">
        <v>1526</v>
      </c>
      <c r="E262" s="56">
        <v>16</v>
      </c>
      <c r="F262" s="56" t="s">
        <v>1527</v>
      </c>
      <c r="G262" s="56" t="s">
        <v>82</v>
      </c>
      <c r="H262" s="56" t="s">
        <v>1519</v>
      </c>
      <c r="I262" s="56" t="s">
        <v>1528</v>
      </c>
      <c r="J262" t="s">
        <v>1529</v>
      </c>
      <c r="K262" s="54" t="s">
        <v>135</v>
      </c>
      <c r="L262" s="54" t="s">
        <v>136</v>
      </c>
      <c r="M262" s="54" t="s">
        <v>150</v>
      </c>
      <c r="N262" s="54" t="s">
        <v>117</v>
      </c>
    </row>
    <row r="263" spans="1:14">
      <c r="A263" s="115">
        <v>262</v>
      </c>
      <c r="B263" s="56" t="s">
        <v>20</v>
      </c>
      <c r="C263" s="130" t="s">
        <v>1110</v>
      </c>
      <c r="D263" s="131" t="s">
        <v>1111</v>
      </c>
      <c r="E263" s="56">
        <v>6</v>
      </c>
      <c r="F263" s="56" t="s">
        <v>1112</v>
      </c>
      <c r="G263" s="56" t="s">
        <v>82</v>
      </c>
      <c r="H263" s="56" t="s">
        <v>1519</v>
      </c>
      <c r="I263" s="56" t="s">
        <v>1125</v>
      </c>
      <c r="J263" t="s">
        <v>1530</v>
      </c>
      <c r="K263" s="54" t="s">
        <v>108</v>
      </c>
      <c r="L263" s="54" t="s">
        <v>135</v>
      </c>
      <c r="M263" s="54" t="s">
        <v>136</v>
      </c>
      <c r="N263" s="54" t="s">
        <v>111</v>
      </c>
    </row>
    <row r="264" spans="1:14">
      <c r="A264" s="115">
        <v>263</v>
      </c>
      <c r="B264" s="56" t="s">
        <v>20</v>
      </c>
      <c r="C264" s="130" t="s">
        <v>1092</v>
      </c>
      <c r="D264" s="131" t="s">
        <v>1093</v>
      </c>
      <c r="E264" s="56">
        <v>19</v>
      </c>
      <c r="F264" s="56" t="s">
        <v>102</v>
      </c>
      <c r="G264" s="56" t="s">
        <v>82</v>
      </c>
      <c r="H264" s="56" t="s">
        <v>1519</v>
      </c>
      <c r="I264" s="54" t="s">
        <v>1094</v>
      </c>
      <c r="J264" s="54" t="s">
        <v>1095</v>
      </c>
      <c r="K264" s="54" t="s">
        <v>108</v>
      </c>
      <c r="L264" s="54" t="s">
        <v>130</v>
      </c>
      <c r="M264" t="s">
        <v>110</v>
      </c>
      <c r="N264" s="54" t="s">
        <v>162</v>
      </c>
    </row>
    <row r="265" spans="1:14">
      <c r="A265" s="108">
        <v>264</v>
      </c>
      <c r="B265" s="56" t="s">
        <v>20</v>
      </c>
      <c r="C265" s="130" t="s">
        <v>1117</v>
      </c>
      <c r="D265" s="131" t="s">
        <v>1118</v>
      </c>
      <c r="E265" s="56">
        <v>5</v>
      </c>
      <c r="F265" s="56" t="s">
        <v>436</v>
      </c>
      <c r="G265" s="56" t="s">
        <v>82</v>
      </c>
      <c r="H265" s="56" t="s">
        <v>1519</v>
      </c>
      <c r="I265" s="56" t="s">
        <v>1531</v>
      </c>
      <c r="J265" t="s">
        <v>1532</v>
      </c>
      <c r="K265" s="54" t="s">
        <v>108</v>
      </c>
      <c r="L265" s="54" t="s">
        <v>109</v>
      </c>
      <c r="M265" s="54" t="s">
        <v>110</v>
      </c>
      <c r="N265" s="54" t="s">
        <v>298</v>
      </c>
    </row>
    <row r="266" spans="1:14">
      <c r="A266" s="108">
        <v>265</v>
      </c>
      <c r="B266" s="56" t="s">
        <v>20</v>
      </c>
      <c r="C266" s="130" t="s">
        <v>1126</v>
      </c>
      <c r="D266" s="131" t="s">
        <v>1127</v>
      </c>
      <c r="E266" s="56">
        <v>29</v>
      </c>
      <c r="F266" s="56" t="s">
        <v>1105</v>
      </c>
      <c r="G266" s="56" t="s">
        <v>82</v>
      </c>
      <c r="H266" s="56" t="s">
        <v>1519</v>
      </c>
      <c r="I266" s="54" t="s">
        <v>1128</v>
      </c>
      <c r="J266" s="54" t="s">
        <v>1129</v>
      </c>
      <c r="K266" s="54" t="s">
        <v>108</v>
      </c>
      <c r="L266" s="54" t="s">
        <v>109</v>
      </c>
      <c r="M266" s="54" t="s">
        <v>110</v>
      </c>
      <c r="N266" s="54" t="s">
        <v>117</v>
      </c>
    </row>
    <row r="267" spans="1:14">
      <c r="A267" s="115">
        <v>266</v>
      </c>
      <c r="B267" s="56" t="s">
        <v>20</v>
      </c>
      <c r="C267" s="130" t="s">
        <v>1100</v>
      </c>
      <c r="D267" s="131" t="s">
        <v>1101</v>
      </c>
      <c r="E267" s="56">
        <v>23</v>
      </c>
      <c r="F267" s="56" t="s">
        <v>105</v>
      </c>
      <c r="G267" s="56" t="s">
        <v>82</v>
      </c>
      <c r="H267" s="56" t="s">
        <v>1519</v>
      </c>
      <c r="I267" s="54" t="s">
        <v>1102</v>
      </c>
      <c r="J267" s="54" t="s">
        <v>1070</v>
      </c>
      <c r="K267" s="54" t="s">
        <v>108</v>
      </c>
      <c r="L267" s="54" t="s">
        <v>135</v>
      </c>
      <c r="M267" s="54" t="s">
        <v>136</v>
      </c>
      <c r="N267" s="54" t="s">
        <v>162</v>
      </c>
    </row>
    <row r="268" spans="1:14">
      <c r="A268" s="115">
        <v>267</v>
      </c>
      <c r="B268" s="56" t="s">
        <v>20</v>
      </c>
      <c r="C268" s="130" t="s">
        <v>1130</v>
      </c>
      <c r="D268" s="131" t="s">
        <v>1131</v>
      </c>
      <c r="E268" s="56">
        <v>18</v>
      </c>
      <c r="F268" s="56" t="s">
        <v>102</v>
      </c>
      <c r="G268" s="56" t="s">
        <v>82</v>
      </c>
      <c r="H268" s="56" t="s">
        <v>1519</v>
      </c>
      <c r="I268" s="54" t="s">
        <v>1132</v>
      </c>
      <c r="J268" s="54" t="s">
        <v>161</v>
      </c>
      <c r="K268" s="54" t="s">
        <v>108</v>
      </c>
      <c r="L268" s="54" t="s">
        <v>135</v>
      </c>
      <c r="M268" s="54" t="s">
        <v>136</v>
      </c>
      <c r="N268" s="54" t="s">
        <v>293</v>
      </c>
    </row>
    <row r="269" spans="1:14">
      <c r="A269" s="108">
        <v>268</v>
      </c>
      <c r="B269" s="56" t="s">
        <v>20</v>
      </c>
      <c r="C269" s="130" t="s">
        <v>1088</v>
      </c>
      <c r="D269" s="131" t="s">
        <v>1089</v>
      </c>
      <c r="E269" s="56">
        <v>38</v>
      </c>
      <c r="F269" s="56" t="s">
        <v>102</v>
      </c>
      <c r="G269" s="56" t="s">
        <v>82</v>
      </c>
      <c r="H269" s="56" t="s">
        <v>1519</v>
      </c>
      <c r="I269" s="54" t="s">
        <v>1090</v>
      </c>
      <c r="J269" s="54" t="s">
        <v>1091</v>
      </c>
      <c r="K269" s="54" t="s">
        <v>135</v>
      </c>
      <c r="L269" s="54" t="s">
        <v>136</v>
      </c>
      <c r="M269" s="54" t="s">
        <v>150</v>
      </c>
      <c r="N269" s="54" t="s">
        <v>111</v>
      </c>
    </row>
    <row r="270" spans="1:14" hidden="1">
      <c r="A270" s="108">
        <v>269</v>
      </c>
      <c r="B270" s="56" t="s">
        <v>20</v>
      </c>
      <c r="C270" s="130" t="s">
        <v>1533</v>
      </c>
      <c r="D270" s="131" t="s">
        <v>1534</v>
      </c>
      <c r="E270" s="56">
        <v>15</v>
      </c>
      <c r="F270" s="56" t="s">
        <v>203</v>
      </c>
      <c r="G270" s="56" t="s">
        <v>195</v>
      </c>
      <c r="H270" s="56" t="s">
        <v>1535</v>
      </c>
      <c r="I270" s="56" t="s">
        <v>1086</v>
      </c>
      <c r="J270" t="s">
        <v>1536</v>
      </c>
      <c r="K270" s="54" t="s">
        <v>108</v>
      </c>
      <c r="L270" s="54" t="s">
        <v>135</v>
      </c>
      <c r="M270" s="54" t="s">
        <v>136</v>
      </c>
      <c r="N270" s="54" t="s">
        <v>162</v>
      </c>
    </row>
    <row r="271" spans="1:14" hidden="1">
      <c r="A271" s="115">
        <v>270</v>
      </c>
      <c r="B271" s="56" t="s">
        <v>20</v>
      </c>
      <c r="C271" s="130" t="s">
        <v>192</v>
      </c>
      <c r="D271" s="131" t="s">
        <v>193</v>
      </c>
      <c r="E271" s="56">
        <v>18</v>
      </c>
      <c r="F271" s="56" t="s">
        <v>194</v>
      </c>
      <c r="G271" s="56" t="s">
        <v>195</v>
      </c>
      <c r="H271" s="56" t="s">
        <v>1535</v>
      </c>
      <c r="I271" s="54" t="s">
        <v>196</v>
      </c>
      <c r="J271" s="54" t="s">
        <v>197</v>
      </c>
      <c r="K271" s="54" t="s">
        <v>198</v>
      </c>
      <c r="L271" s="54" t="s">
        <v>199</v>
      </c>
      <c r="M271" s="54" t="s">
        <v>200</v>
      </c>
      <c r="N271" s="54" t="s">
        <v>117</v>
      </c>
    </row>
    <row r="272" spans="1:14" hidden="1">
      <c r="A272" s="108">
        <v>271</v>
      </c>
      <c r="B272" s="56" t="s">
        <v>20</v>
      </c>
      <c r="C272" s="130" t="s">
        <v>1537</v>
      </c>
      <c r="D272" s="131" t="s">
        <v>1538</v>
      </c>
      <c r="E272" s="56">
        <v>8</v>
      </c>
      <c r="F272" s="56" t="s">
        <v>1250</v>
      </c>
      <c r="G272" s="56" t="s">
        <v>195</v>
      </c>
      <c r="H272" s="56" t="s">
        <v>1535</v>
      </c>
      <c r="I272" s="56" t="s">
        <v>1539</v>
      </c>
      <c r="J272" t="s">
        <v>307</v>
      </c>
      <c r="K272" s="54" t="s">
        <v>108</v>
      </c>
      <c r="L272" s="54" t="s">
        <v>135</v>
      </c>
      <c r="M272" s="54" t="s">
        <v>136</v>
      </c>
      <c r="N272" s="54" t="s">
        <v>111</v>
      </c>
    </row>
    <row r="273" spans="1:14" hidden="1">
      <c r="A273" s="115">
        <v>272</v>
      </c>
      <c r="B273" s="56" t="s">
        <v>20</v>
      </c>
      <c r="C273" s="130" t="s">
        <v>201</v>
      </c>
      <c r="D273" s="131" t="s">
        <v>202</v>
      </c>
      <c r="E273" s="56">
        <v>15</v>
      </c>
      <c r="F273" s="56" t="s">
        <v>203</v>
      </c>
      <c r="G273" s="56" t="s">
        <v>195</v>
      </c>
      <c r="H273" s="56" t="s">
        <v>1535</v>
      </c>
      <c r="I273" s="54" t="s">
        <v>196</v>
      </c>
      <c r="J273" s="54" t="s">
        <v>204</v>
      </c>
      <c r="K273" s="54" t="s">
        <v>198</v>
      </c>
      <c r="L273" s="54" t="s">
        <v>199</v>
      </c>
      <c r="M273" s="54" t="s">
        <v>200</v>
      </c>
      <c r="N273" s="54" t="s">
        <v>162</v>
      </c>
    </row>
    <row r="274" spans="1:14" hidden="1">
      <c r="A274" s="115">
        <v>273</v>
      </c>
      <c r="B274" s="56" t="s">
        <v>20</v>
      </c>
      <c r="C274" s="130" t="s">
        <v>205</v>
      </c>
      <c r="D274" s="131" t="s">
        <v>206</v>
      </c>
      <c r="E274" s="56">
        <v>11</v>
      </c>
      <c r="F274" s="56" t="s">
        <v>159</v>
      </c>
      <c r="G274" s="56" t="s">
        <v>195</v>
      </c>
      <c r="H274" s="56" t="s">
        <v>1540</v>
      </c>
      <c r="I274" s="54" t="s">
        <v>207</v>
      </c>
      <c r="J274" s="54" t="s">
        <v>208</v>
      </c>
      <c r="K274" s="54" t="s">
        <v>108</v>
      </c>
      <c r="L274" s="54" t="s">
        <v>109</v>
      </c>
      <c r="M274" s="54" t="s">
        <v>110</v>
      </c>
      <c r="N274" s="54" t="s">
        <v>117</v>
      </c>
    </row>
    <row r="275" spans="1:14" hidden="1">
      <c r="A275" s="108">
        <v>274</v>
      </c>
      <c r="B275" s="56" t="s">
        <v>20</v>
      </c>
      <c r="C275" s="130" t="s">
        <v>209</v>
      </c>
      <c r="D275" s="131" t="s">
        <v>210</v>
      </c>
      <c r="E275" s="56">
        <v>10</v>
      </c>
      <c r="F275" s="56" t="s">
        <v>194</v>
      </c>
      <c r="G275" s="56" t="s">
        <v>195</v>
      </c>
      <c r="H275" s="56" t="s">
        <v>1535</v>
      </c>
      <c r="I275" s="54" t="s">
        <v>211</v>
      </c>
      <c r="J275" s="54" t="s">
        <v>212</v>
      </c>
      <c r="K275" s="54" t="s">
        <v>135</v>
      </c>
      <c r="L275" s="54" t="s">
        <v>136</v>
      </c>
      <c r="M275" s="54" t="s">
        <v>150</v>
      </c>
      <c r="N275" s="54" t="s">
        <v>117</v>
      </c>
    </row>
    <row r="276" spans="1:14" hidden="1">
      <c r="A276" s="108">
        <v>275</v>
      </c>
      <c r="B276" s="56" t="s">
        <v>20</v>
      </c>
      <c r="C276" s="130" t="s">
        <v>213</v>
      </c>
      <c r="D276" s="131" t="s">
        <v>214</v>
      </c>
      <c r="E276" s="56">
        <v>8</v>
      </c>
      <c r="F276" s="56" t="s">
        <v>159</v>
      </c>
      <c r="G276" s="56" t="s">
        <v>195</v>
      </c>
      <c r="H276" s="56" t="s">
        <v>1540</v>
      </c>
      <c r="I276" s="54" t="s">
        <v>215</v>
      </c>
      <c r="J276" s="54" t="s">
        <v>216</v>
      </c>
      <c r="K276" t="s">
        <v>116</v>
      </c>
      <c r="L276" t="s">
        <v>109</v>
      </c>
      <c r="M276" t="s">
        <v>110</v>
      </c>
      <c r="N276" s="54" t="s">
        <v>162</v>
      </c>
    </row>
    <row r="277" spans="1:14" hidden="1">
      <c r="A277" s="115">
        <v>276</v>
      </c>
      <c r="B277" s="56" t="s">
        <v>20</v>
      </c>
      <c r="C277" s="130" t="s">
        <v>1541</v>
      </c>
      <c r="D277" s="131" t="s">
        <v>1542</v>
      </c>
      <c r="E277" s="56">
        <v>7</v>
      </c>
      <c r="F277" s="56" t="s">
        <v>1543</v>
      </c>
      <c r="G277" s="56" t="s">
        <v>195</v>
      </c>
      <c r="H277" s="56" t="s">
        <v>1535</v>
      </c>
      <c r="I277" s="56" t="s">
        <v>1544</v>
      </c>
      <c r="J277" t="s">
        <v>1545</v>
      </c>
      <c r="K277" s="54" t="s">
        <v>198</v>
      </c>
      <c r="L277" s="54" t="s">
        <v>135</v>
      </c>
      <c r="M277" s="54" t="s">
        <v>136</v>
      </c>
      <c r="N277" s="54" t="s">
        <v>162</v>
      </c>
    </row>
    <row r="278" spans="1:14" hidden="1">
      <c r="A278" s="115">
        <v>277</v>
      </c>
      <c r="B278" s="56" t="s">
        <v>20</v>
      </c>
      <c r="C278" s="130" t="s">
        <v>220</v>
      </c>
      <c r="D278" s="131" t="s">
        <v>221</v>
      </c>
      <c r="E278" s="56">
        <v>10</v>
      </c>
      <c r="F278" s="56" t="s">
        <v>194</v>
      </c>
      <c r="G278" s="56" t="s">
        <v>195</v>
      </c>
      <c r="H278" s="56" t="s">
        <v>1535</v>
      </c>
      <c r="I278" s="54" t="s">
        <v>222</v>
      </c>
      <c r="J278" s="54" t="s">
        <v>223</v>
      </c>
      <c r="K278" s="54" t="s">
        <v>198</v>
      </c>
      <c r="L278" s="54" t="s">
        <v>135</v>
      </c>
      <c r="M278" s="54" t="s">
        <v>136</v>
      </c>
      <c r="N278" s="54" t="s">
        <v>162</v>
      </c>
    </row>
    <row r="279" spans="1:14">
      <c r="A279" s="108">
        <v>278</v>
      </c>
      <c r="B279" s="56" t="s">
        <v>20</v>
      </c>
      <c r="C279" s="130" t="s">
        <v>909</v>
      </c>
      <c r="D279" s="131" t="s">
        <v>910</v>
      </c>
      <c r="E279" s="56">
        <v>11</v>
      </c>
      <c r="F279" s="56" t="s">
        <v>911</v>
      </c>
      <c r="G279" s="56" t="s">
        <v>72</v>
      </c>
      <c r="H279" s="56" t="s">
        <v>1546</v>
      </c>
      <c r="I279" s="54" t="s">
        <v>211</v>
      </c>
      <c r="J279" s="54" t="s">
        <v>578</v>
      </c>
      <c r="K279" s="54" t="s">
        <v>198</v>
      </c>
      <c r="L279" s="54" t="s">
        <v>108</v>
      </c>
      <c r="M279" s="54" t="s">
        <v>135</v>
      </c>
      <c r="N279" s="54" t="s">
        <v>162</v>
      </c>
    </row>
    <row r="280" spans="1:14">
      <c r="A280" s="108">
        <v>279</v>
      </c>
      <c r="B280" s="56" t="s">
        <v>20</v>
      </c>
      <c r="C280" s="130" t="s">
        <v>912</v>
      </c>
      <c r="D280" s="131" t="s">
        <v>913</v>
      </c>
      <c r="E280" s="56">
        <v>15</v>
      </c>
      <c r="F280" s="56" t="s">
        <v>1547</v>
      </c>
      <c r="G280" s="56" t="s">
        <v>72</v>
      </c>
      <c r="H280" s="56" t="s">
        <v>1546</v>
      </c>
      <c r="I280" s="54" t="s">
        <v>196</v>
      </c>
      <c r="J280" s="54" t="s">
        <v>337</v>
      </c>
      <c r="K280" s="54" t="s">
        <v>198</v>
      </c>
      <c r="L280" s="54" t="s">
        <v>108</v>
      </c>
      <c r="M280" s="54" t="s">
        <v>135</v>
      </c>
      <c r="N280" s="54" t="s">
        <v>162</v>
      </c>
    </row>
    <row r="281" spans="1:14">
      <c r="A281" s="115">
        <v>280</v>
      </c>
      <c r="B281" s="56" t="s">
        <v>20</v>
      </c>
      <c r="C281" s="130" t="s">
        <v>915</v>
      </c>
      <c r="D281" s="131" t="s">
        <v>916</v>
      </c>
      <c r="E281" s="56">
        <v>15</v>
      </c>
      <c r="F281" s="56" t="s">
        <v>159</v>
      </c>
      <c r="G281" s="56" t="s">
        <v>72</v>
      </c>
      <c r="H281" s="56" t="s">
        <v>1546</v>
      </c>
      <c r="I281" s="54" t="s">
        <v>196</v>
      </c>
      <c r="J281" s="54" t="s">
        <v>578</v>
      </c>
      <c r="K281" s="54" t="s">
        <v>198</v>
      </c>
      <c r="L281" s="54" t="s">
        <v>108</v>
      </c>
      <c r="M281" s="54" t="s">
        <v>135</v>
      </c>
      <c r="N281" s="54" t="s">
        <v>162</v>
      </c>
    </row>
    <row r="282" spans="1:14">
      <c r="A282" s="108">
        <v>281</v>
      </c>
      <c r="B282" s="56" t="s">
        <v>20</v>
      </c>
      <c r="C282" s="130" t="s">
        <v>917</v>
      </c>
      <c r="D282" s="131" t="s">
        <v>918</v>
      </c>
      <c r="E282" s="56">
        <v>15</v>
      </c>
      <c r="F282" s="56" t="s">
        <v>159</v>
      </c>
      <c r="G282" s="56" t="s">
        <v>72</v>
      </c>
      <c r="H282" s="56" t="s">
        <v>1546</v>
      </c>
      <c r="I282" s="54" t="s">
        <v>919</v>
      </c>
      <c r="J282" s="54" t="s">
        <v>578</v>
      </c>
      <c r="K282" s="54" t="s">
        <v>198</v>
      </c>
      <c r="L282" s="54" t="s">
        <v>108</v>
      </c>
      <c r="M282" s="54" t="s">
        <v>135</v>
      </c>
      <c r="N282" s="54" t="s">
        <v>162</v>
      </c>
    </row>
    <row r="283" spans="1:14">
      <c r="A283" s="115">
        <v>282</v>
      </c>
      <c r="B283" s="56" t="s">
        <v>20</v>
      </c>
      <c r="C283" s="130" t="s">
        <v>1548</v>
      </c>
      <c r="D283" s="131" t="s">
        <v>1549</v>
      </c>
      <c r="E283" s="56">
        <v>6</v>
      </c>
      <c r="F283" s="56" t="s">
        <v>203</v>
      </c>
      <c r="G283" s="56" t="s">
        <v>72</v>
      </c>
      <c r="H283" s="56" t="s">
        <v>1546</v>
      </c>
      <c r="I283" s="56"/>
      <c r="K283" s="54" t="s">
        <v>186</v>
      </c>
      <c r="L283" t="s">
        <v>187</v>
      </c>
      <c r="M283" s="54"/>
      <c r="N283" s="54" t="s">
        <v>188</v>
      </c>
    </row>
    <row r="284" spans="1:14">
      <c r="A284" s="115">
        <v>283</v>
      </c>
      <c r="B284" s="56" t="s">
        <v>20</v>
      </c>
      <c r="C284" s="130" t="s">
        <v>920</v>
      </c>
      <c r="D284" s="131" t="s">
        <v>921</v>
      </c>
      <c r="E284" s="56">
        <v>16</v>
      </c>
      <c r="F284" s="56" t="s">
        <v>159</v>
      </c>
      <c r="G284" s="56" t="s">
        <v>72</v>
      </c>
      <c r="H284" s="56" t="s">
        <v>1546</v>
      </c>
      <c r="I284" s="54" t="s">
        <v>922</v>
      </c>
      <c r="J284" s="54" t="s">
        <v>923</v>
      </c>
      <c r="K284" s="54" t="s">
        <v>135</v>
      </c>
      <c r="L284" s="54" t="s">
        <v>136</v>
      </c>
      <c r="M284" s="54" t="s">
        <v>150</v>
      </c>
      <c r="N284" s="54" t="s">
        <v>162</v>
      </c>
    </row>
    <row r="285" spans="1:14" hidden="1">
      <c r="A285" s="108">
        <v>284</v>
      </c>
      <c r="B285" s="56" t="s">
        <v>20</v>
      </c>
      <c r="C285" s="130" t="s">
        <v>1149</v>
      </c>
      <c r="D285" s="131" t="s">
        <v>1150</v>
      </c>
      <c r="E285" s="56">
        <v>10</v>
      </c>
      <c r="F285" s="56" t="s">
        <v>1151</v>
      </c>
      <c r="G285" s="56" t="s">
        <v>84</v>
      </c>
      <c r="H285" s="56" t="s">
        <v>1550</v>
      </c>
      <c r="I285" s="54" t="s">
        <v>1152</v>
      </c>
      <c r="J285" s="54" t="s">
        <v>1153</v>
      </c>
      <c r="K285" s="54" t="s">
        <v>108</v>
      </c>
      <c r="L285" s="54" t="s">
        <v>135</v>
      </c>
      <c r="M285" s="54" t="s">
        <v>136</v>
      </c>
      <c r="N285" s="54" t="s">
        <v>111</v>
      </c>
    </row>
    <row r="286" spans="1:14" hidden="1">
      <c r="A286" s="108">
        <v>285</v>
      </c>
      <c r="B286" s="56" t="s">
        <v>20</v>
      </c>
      <c r="C286" s="130" t="s">
        <v>1154</v>
      </c>
      <c r="D286" s="131" t="s">
        <v>1155</v>
      </c>
      <c r="E286" s="56">
        <v>12</v>
      </c>
      <c r="F286" s="56" t="s">
        <v>1156</v>
      </c>
      <c r="G286" s="56" t="s">
        <v>84</v>
      </c>
      <c r="H286" s="56" t="s">
        <v>1550</v>
      </c>
      <c r="I286" s="54" t="s">
        <v>1157</v>
      </c>
      <c r="J286" s="54" t="s">
        <v>1158</v>
      </c>
      <c r="K286" s="54" t="s">
        <v>198</v>
      </c>
      <c r="L286" s="54" t="s">
        <v>199</v>
      </c>
      <c r="M286" s="54" t="s">
        <v>200</v>
      </c>
      <c r="N286" s="54" t="s">
        <v>111</v>
      </c>
    </row>
    <row r="287" spans="1:14" hidden="1">
      <c r="A287" s="115">
        <v>286</v>
      </c>
      <c r="B287" s="56" t="s">
        <v>20</v>
      </c>
      <c r="C287" s="130" t="s">
        <v>1159</v>
      </c>
      <c r="D287" s="131" t="s">
        <v>1160</v>
      </c>
      <c r="E287" s="56">
        <v>11</v>
      </c>
      <c r="F287" s="56" t="s">
        <v>1161</v>
      </c>
      <c r="G287" s="56" t="s">
        <v>84</v>
      </c>
      <c r="H287" s="56" t="s">
        <v>1550</v>
      </c>
      <c r="I287" s="54" t="s">
        <v>1162</v>
      </c>
      <c r="J287" s="54" t="s">
        <v>1163</v>
      </c>
      <c r="K287" s="54" t="s">
        <v>135</v>
      </c>
      <c r="L287" s="54" t="s">
        <v>136</v>
      </c>
      <c r="M287" s="54" t="s">
        <v>150</v>
      </c>
      <c r="N287" s="54" t="s">
        <v>111</v>
      </c>
    </row>
    <row r="288" spans="1:14" hidden="1">
      <c r="A288" s="115">
        <v>287</v>
      </c>
      <c r="B288" s="56" t="s">
        <v>20</v>
      </c>
      <c r="C288" s="130" t="s">
        <v>1164</v>
      </c>
      <c r="D288" s="131" t="s">
        <v>1165</v>
      </c>
      <c r="E288" s="56">
        <v>15</v>
      </c>
      <c r="F288" s="56" t="s">
        <v>1166</v>
      </c>
      <c r="G288" s="56" t="s">
        <v>84</v>
      </c>
      <c r="H288" s="56" t="s">
        <v>1550</v>
      </c>
      <c r="I288" s="54" t="s">
        <v>1167</v>
      </c>
      <c r="J288" s="54" t="s">
        <v>1168</v>
      </c>
      <c r="K288" s="54" t="s">
        <v>108</v>
      </c>
      <c r="L288" s="54" t="s">
        <v>135</v>
      </c>
      <c r="M288" s="54" t="s">
        <v>136</v>
      </c>
      <c r="N288" s="54" t="s">
        <v>293</v>
      </c>
    </row>
    <row r="289" spans="1:14" hidden="1">
      <c r="A289" s="108">
        <v>288</v>
      </c>
      <c r="B289" s="56" t="s">
        <v>20</v>
      </c>
      <c r="C289" s="130" t="s">
        <v>1169</v>
      </c>
      <c r="D289" s="131" t="s">
        <v>1170</v>
      </c>
      <c r="E289" s="56">
        <v>12</v>
      </c>
      <c r="F289" s="56" t="s">
        <v>1161</v>
      </c>
      <c r="G289" s="56" t="s">
        <v>84</v>
      </c>
      <c r="H289" s="56" t="s">
        <v>1550</v>
      </c>
      <c r="I289" s="54" t="s">
        <v>1171</v>
      </c>
      <c r="J289" s="54" t="s">
        <v>1158</v>
      </c>
      <c r="K289" s="54" t="s">
        <v>198</v>
      </c>
      <c r="L289" s="54" t="s">
        <v>199</v>
      </c>
      <c r="M289" s="54" t="s">
        <v>200</v>
      </c>
      <c r="N289" s="54" t="s">
        <v>111</v>
      </c>
    </row>
    <row r="290" spans="1:14" hidden="1">
      <c r="A290" s="108">
        <v>289</v>
      </c>
      <c r="B290" s="56" t="s">
        <v>20</v>
      </c>
      <c r="C290" s="130" t="s">
        <v>1172</v>
      </c>
      <c r="D290" s="131" t="s">
        <v>1173</v>
      </c>
      <c r="E290" s="56">
        <v>7</v>
      </c>
      <c r="F290" s="56" t="s">
        <v>1174</v>
      </c>
      <c r="G290" s="56" t="s">
        <v>84</v>
      </c>
      <c r="H290" s="56" t="s">
        <v>1550</v>
      </c>
      <c r="I290" s="54" t="s">
        <v>1175</v>
      </c>
      <c r="J290" s="54" t="s">
        <v>121</v>
      </c>
      <c r="K290" s="54" t="s">
        <v>108</v>
      </c>
      <c r="L290" s="54" t="s">
        <v>130</v>
      </c>
      <c r="M290" s="54" t="s">
        <v>110</v>
      </c>
      <c r="N290" s="54" t="s">
        <v>293</v>
      </c>
    </row>
    <row r="291" spans="1:14" hidden="1">
      <c r="A291" s="115">
        <v>290</v>
      </c>
      <c r="B291" s="56" t="s">
        <v>20</v>
      </c>
      <c r="C291" s="130" t="s">
        <v>1551</v>
      </c>
      <c r="D291" s="131" t="s">
        <v>916</v>
      </c>
      <c r="E291" s="56">
        <v>14</v>
      </c>
      <c r="F291" t="s">
        <v>1255</v>
      </c>
      <c r="G291" s="56" t="s">
        <v>88</v>
      </c>
      <c r="H291" s="56" t="s">
        <v>1552</v>
      </c>
      <c r="I291" s="56"/>
      <c r="K291" t="s">
        <v>1313</v>
      </c>
      <c r="L291" t="s">
        <v>1313</v>
      </c>
      <c r="M291" s="54"/>
      <c r="N291" s="54" t="s">
        <v>16</v>
      </c>
    </row>
    <row r="292" spans="1:14" hidden="1">
      <c r="A292" s="108">
        <v>291</v>
      </c>
      <c r="B292" s="56" t="s">
        <v>20</v>
      </c>
      <c r="C292" s="130" t="s">
        <v>1248</v>
      </c>
      <c r="D292" s="131" t="s">
        <v>1249</v>
      </c>
      <c r="E292" s="56">
        <v>17</v>
      </c>
      <c r="F292" t="s">
        <v>1250</v>
      </c>
      <c r="G292" s="56" t="s">
        <v>88</v>
      </c>
      <c r="H292" s="56" t="s">
        <v>1552</v>
      </c>
      <c r="I292" s="54" t="s">
        <v>1251</v>
      </c>
      <c r="J292" s="54" t="s">
        <v>1252</v>
      </c>
      <c r="K292" s="54" t="s">
        <v>108</v>
      </c>
      <c r="L292" s="54" t="s">
        <v>130</v>
      </c>
      <c r="M292" t="s">
        <v>110</v>
      </c>
      <c r="N292" s="54" t="s">
        <v>162</v>
      </c>
    </row>
    <row r="293" spans="1:14" hidden="1">
      <c r="A293" s="115">
        <v>292</v>
      </c>
      <c r="B293" s="56" t="s">
        <v>20</v>
      </c>
      <c r="C293" s="130" t="s">
        <v>1553</v>
      </c>
      <c r="D293" s="131" t="s">
        <v>1554</v>
      </c>
      <c r="E293" s="56">
        <v>16</v>
      </c>
      <c r="F293" t="s">
        <v>1555</v>
      </c>
      <c r="G293" s="56" t="s">
        <v>88</v>
      </c>
      <c r="H293" s="56" t="s">
        <v>1552</v>
      </c>
      <c r="I293" s="56" t="s">
        <v>1556</v>
      </c>
      <c r="J293" t="s">
        <v>1545</v>
      </c>
      <c r="K293" s="54" t="s">
        <v>198</v>
      </c>
      <c r="L293" s="54" t="s">
        <v>135</v>
      </c>
      <c r="M293" s="54" t="s">
        <v>136</v>
      </c>
      <c r="N293" s="54" t="s">
        <v>162</v>
      </c>
    </row>
    <row r="294" spans="1:14" hidden="1">
      <c r="A294" s="115">
        <v>293</v>
      </c>
      <c r="B294" s="56" t="s">
        <v>20</v>
      </c>
      <c r="C294" s="130" t="s">
        <v>1253</v>
      </c>
      <c r="D294" s="131" t="s">
        <v>1254</v>
      </c>
      <c r="E294" s="56">
        <v>17</v>
      </c>
      <c r="F294" t="s">
        <v>1255</v>
      </c>
      <c r="G294" s="56" t="s">
        <v>88</v>
      </c>
      <c r="H294" s="56" t="s">
        <v>1552</v>
      </c>
      <c r="I294" s="55"/>
      <c r="J294" s="55"/>
      <c r="K294" s="54" t="s">
        <v>186</v>
      </c>
      <c r="L294" t="s">
        <v>187</v>
      </c>
      <c r="M294" s="54"/>
      <c r="N294" s="54" t="s">
        <v>188</v>
      </c>
    </row>
    <row r="295" spans="1:14" hidden="1">
      <c r="A295" s="108">
        <v>294</v>
      </c>
      <c r="B295" s="56" t="s">
        <v>20</v>
      </c>
      <c r="C295" s="130" t="s">
        <v>1256</v>
      </c>
      <c r="D295" s="131" t="s">
        <v>1257</v>
      </c>
      <c r="E295" s="56">
        <v>13</v>
      </c>
      <c r="F295" t="s">
        <v>1258</v>
      </c>
      <c r="G295" s="56" t="s">
        <v>88</v>
      </c>
      <c r="H295" s="56" t="s">
        <v>1552</v>
      </c>
      <c r="I295" s="54" t="s">
        <v>411</v>
      </c>
      <c r="J295" s="54" t="s">
        <v>1259</v>
      </c>
      <c r="K295" s="54" t="s">
        <v>108</v>
      </c>
      <c r="L295" s="54" t="s">
        <v>109</v>
      </c>
      <c r="M295" s="54" t="s">
        <v>110</v>
      </c>
      <c r="N295" s="54" t="s">
        <v>117</v>
      </c>
    </row>
    <row r="296" spans="1:14" hidden="1">
      <c r="A296" s="108">
        <v>295</v>
      </c>
      <c r="B296" s="56" t="s">
        <v>20</v>
      </c>
      <c r="C296" s="130" t="s">
        <v>1260</v>
      </c>
      <c r="D296" s="131" t="s">
        <v>1261</v>
      </c>
      <c r="E296" s="56">
        <v>15</v>
      </c>
      <c r="F296" t="s">
        <v>1174</v>
      </c>
      <c r="G296" s="56" t="s">
        <v>88</v>
      </c>
      <c r="H296" s="56" t="s">
        <v>1552</v>
      </c>
      <c r="I296" s="54" t="s">
        <v>1262</v>
      </c>
      <c r="J296" s="54" t="s">
        <v>1263</v>
      </c>
      <c r="K296" s="54" t="s">
        <v>198</v>
      </c>
      <c r="L296" s="54" t="s">
        <v>199</v>
      </c>
      <c r="M296" s="54" t="s">
        <v>200</v>
      </c>
      <c r="N296" s="54" t="s">
        <v>111</v>
      </c>
    </row>
    <row r="297" spans="1:14" hidden="1">
      <c r="A297" s="115">
        <v>296</v>
      </c>
      <c r="B297" s="56" t="s">
        <v>20</v>
      </c>
      <c r="C297" s="130" t="s">
        <v>1264</v>
      </c>
      <c r="D297" s="131" t="s">
        <v>1265</v>
      </c>
      <c r="E297" s="56">
        <v>16</v>
      </c>
      <c r="F297" t="s">
        <v>1266</v>
      </c>
      <c r="G297" s="56" t="s">
        <v>88</v>
      </c>
      <c r="H297" s="56" t="s">
        <v>1552</v>
      </c>
      <c r="I297" s="55"/>
      <c r="J297" s="55"/>
      <c r="K297" s="54" t="s">
        <v>186</v>
      </c>
      <c r="L297" t="s">
        <v>187</v>
      </c>
      <c r="M297" s="54"/>
      <c r="N297" s="54" t="s">
        <v>188</v>
      </c>
    </row>
    <row r="298" spans="1:14" hidden="1">
      <c r="A298" s="115">
        <v>297</v>
      </c>
      <c r="B298" s="56" t="s">
        <v>20</v>
      </c>
      <c r="C298" s="130" t="s">
        <v>1267</v>
      </c>
      <c r="D298" s="131" t="s">
        <v>1268</v>
      </c>
      <c r="E298" s="56">
        <v>14</v>
      </c>
      <c r="F298" t="s">
        <v>1269</v>
      </c>
      <c r="G298" s="56" t="s">
        <v>88</v>
      </c>
      <c r="H298" s="56" t="s">
        <v>1552</v>
      </c>
      <c r="I298" s="54" t="s">
        <v>211</v>
      </c>
      <c r="J298" s="54" t="s">
        <v>578</v>
      </c>
      <c r="K298" s="54" t="s">
        <v>198</v>
      </c>
      <c r="L298" s="54" t="s">
        <v>108</v>
      </c>
      <c r="M298" s="54" t="s">
        <v>135</v>
      </c>
      <c r="N298" s="54" t="s">
        <v>293</v>
      </c>
    </row>
    <row r="299" spans="1:14" hidden="1">
      <c r="A299" s="108">
        <v>298</v>
      </c>
      <c r="B299" s="56" t="s">
        <v>20</v>
      </c>
      <c r="C299" s="130" t="s">
        <v>1557</v>
      </c>
      <c r="D299" s="131" t="s">
        <v>1558</v>
      </c>
      <c r="E299" s="56">
        <v>15</v>
      </c>
      <c r="F299" s="56" t="s">
        <v>1559</v>
      </c>
      <c r="G299" s="56" t="s">
        <v>73</v>
      </c>
      <c r="H299" s="56" t="s">
        <v>1560</v>
      </c>
      <c r="K299" t="s">
        <v>1313</v>
      </c>
      <c r="L299" t="s">
        <v>1313</v>
      </c>
      <c r="M299" s="54"/>
      <c r="N299" s="54" t="s">
        <v>16</v>
      </c>
    </row>
    <row r="300" spans="1:14" hidden="1">
      <c r="A300" s="108">
        <v>299</v>
      </c>
      <c r="B300" s="56" t="s">
        <v>20</v>
      </c>
      <c r="C300" s="130" t="s">
        <v>924</v>
      </c>
      <c r="D300" s="131" t="s">
        <v>925</v>
      </c>
      <c r="E300" s="56"/>
      <c r="F300" s="91" t="s">
        <v>926</v>
      </c>
      <c r="G300" s="56" t="s">
        <v>73</v>
      </c>
      <c r="H300" s="56" t="s">
        <v>1560</v>
      </c>
      <c r="K300" s="54" t="s">
        <v>186</v>
      </c>
      <c r="L300" t="s">
        <v>187</v>
      </c>
      <c r="M300" s="54"/>
      <c r="N300" s="54" t="s">
        <v>188</v>
      </c>
    </row>
    <row r="301" spans="1:14" hidden="1">
      <c r="A301" s="115">
        <v>300</v>
      </c>
      <c r="B301" s="56" t="s">
        <v>1296</v>
      </c>
      <c r="C301" s="85" t="s">
        <v>1270</v>
      </c>
      <c r="D301" s="56" t="s">
        <v>1271</v>
      </c>
      <c r="E301" s="56">
        <v>11</v>
      </c>
      <c r="F301" s="56" t="s">
        <v>226</v>
      </c>
      <c r="G301" s="56" t="s">
        <v>89</v>
      </c>
      <c r="H301" s="56" t="s">
        <v>1561</v>
      </c>
      <c r="I301" s="54" t="s">
        <v>1272</v>
      </c>
      <c r="J301" s="54" t="s">
        <v>1273</v>
      </c>
      <c r="K301" s="54" t="s">
        <v>108</v>
      </c>
      <c r="L301" s="54" t="s">
        <v>135</v>
      </c>
      <c r="M301" s="54" t="s">
        <v>136</v>
      </c>
      <c r="N301" s="54" t="s">
        <v>111</v>
      </c>
    </row>
    <row r="302" spans="1:14" hidden="1">
      <c r="A302" s="108">
        <v>301</v>
      </c>
      <c r="B302" s="56" t="s">
        <v>1296</v>
      </c>
      <c r="C302" s="85" t="s">
        <v>1274</v>
      </c>
      <c r="D302" s="56" t="s">
        <v>1275</v>
      </c>
      <c r="E302" s="56">
        <v>25</v>
      </c>
      <c r="F302" s="56" t="s">
        <v>226</v>
      </c>
      <c r="G302" s="56" t="s">
        <v>89</v>
      </c>
      <c r="H302" s="56" t="s">
        <v>1561</v>
      </c>
      <c r="I302" s="56"/>
      <c r="K302" t="s">
        <v>1365</v>
      </c>
      <c r="N302" s="54" t="s">
        <v>12</v>
      </c>
    </row>
    <row r="303" spans="1:14" hidden="1">
      <c r="A303" s="115">
        <v>302</v>
      </c>
      <c r="B303" s="56" t="s">
        <v>1296</v>
      </c>
      <c r="C303" s="85" t="s">
        <v>1276</v>
      </c>
      <c r="D303" s="56" t="s">
        <v>1277</v>
      </c>
      <c r="E303" s="56">
        <v>19</v>
      </c>
      <c r="F303" s="56" t="s">
        <v>226</v>
      </c>
      <c r="G303" s="56" t="s">
        <v>89</v>
      </c>
      <c r="H303" s="56" t="s">
        <v>1561</v>
      </c>
      <c r="I303" s="56"/>
      <c r="K303" s="54" t="s">
        <v>1365</v>
      </c>
      <c r="L303" s="54"/>
      <c r="N303" s="54" t="s">
        <v>12</v>
      </c>
    </row>
    <row r="304" spans="1:14" hidden="1">
      <c r="A304" s="115">
        <v>303</v>
      </c>
      <c r="B304" s="56" t="s">
        <v>1296</v>
      </c>
      <c r="C304" s="85" t="s">
        <v>1278</v>
      </c>
      <c r="D304" s="56" t="s">
        <v>1279</v>
      </c>
      <c r="E304" s="56">
        <v>9</v>
      </c>
      <c r="F304" s="56" t="s">
        <v>226</v>
      </c>
      <c r="G304" s="56" t="s">
        <v>89</v>
      </c>
      <c r="H304" s="56" t="s">
        <v>1561</v>
      </c>
      <c r="I304" s="56" t="s">
        <v>1562</v>
      </c>
      <c r="J304" t="s">
        <v>1106</v>
      </c>
      <c r="K304" s="54" t="s">
        <v>108</v>
      </c>
      <c r="L304" s="54" t="s">
        <v>135</v>
      </c>
      <c r="M304" s="54" t="s">
        <v>136</v>
      </c>
      <c r="N304" s="54" t="s">
        <v>162</v>
      </c>
    </row>
    <row r="305" spans="1:14" hidden="1">
      <c r="A305" s="108">
        <v>304</v>
      </c>
      <c r="B305" s="56" t="s">
        <v>1296</v>
      </c>
      <c r="C305" s="85" t="s">
        <v>1280</v>
      </c>
      <c r="D305" s="56" t="s">
        <v>1281</v>
      </c>
      <c r="E305" s="56">
        <v>16</v>
      </c>
      <c r="F305" s="56" t="s">
        <v>697</v>
      </c>
      <c r="G305" s="56" t="s">
        <v>89</v>
      </c>
      <c r="H305" s="56" t="s">
        <v>1561</v>
      </c>
      <c r="I305" s="56"/>
      <c r="K305" t="s">
        <v>1313</v>
      </c>
      <c r="L305" t="s">
        <v>1313</v>
      </c>
      <c r="M305" s="54"/>
      <c r="N305" s="54" t="s">
        <v>16</v>
      </c>
    </row>
    <row r="306" spans="1:14" hidden="1">
      <c r="A306" s="108">
        <v>305</v>
      </c>
      <c r="B306" s="56" t="s">
        <v>1296</v>
      </c>
      <c r="C306" s="85" t="s">
        <v>1282</v>
      </c>
      <c r="D306" s="56" t="s">
        <v>1283</v>
      </c>
      <c r="E306" s="56">
        <v>4</v>
      </c>
      <c r="F306" s="56" t="s">
        <v>402</v>
      </c>
      <c r="G306" s="56" t="s">
        <v>89</v>
      </c>
      <c r="H306" s="56" t="s">
        <v>1561</v>
      </c>
      <c r="I306" s="54" t="s">
        <v>898</v>
      </c>
      <c r="J306" s="54" t="s">
        <v>585</v>
      </c>
      <c r="K306" s="54" t="s">
        <v>116</v>
      </c>
      <c r="L306" s="54" t="s">
        <v>109</v>
      </c>
      <c r="M306" s="54" t="s">
        <v>110</v>
      </c>
      <c r="N306" s="54" t="s">
        <v>117</v>
      </c>
    </row>
    <row r="307" spans="1:14" hidden="1">
      <c r="A307" s="115">
        <v>306</v>
      </c>
      <c r="B307" s="56" t="s">
        <v>1296</v>
      </c>
      <c r="C307" s="85" t="s">
        <v>1284</v>
      </c>
      <c r="D307" s="56" t="s">
        <v>1285</v>
      </c>
      <c r="E307" s="56">
        <v>21</v>
      </c>
      <c r="F307" s="56" t="s">
        <v>226</v>
      </c>
      <c r="G307" s="56" t="s">
        <v>89</v>
      </c>
      <c r="H307" s="56" t="s">
        <v>1561</v>
      </c>
      <c r="I307" s="56"/>
      <c r="K307" t="s">
        <v>1365</v>
      </c>
      <c r="N307" s="54" t="s">
        <v>12</v>
      </c>
    </row>
    <row r="308" spans="1:14" hidden="1">
      <c r="A308" s="115">
        <v>307</v>
      </c>
      <c r="B308" s="56" t="s">
        <v>1296</v>
      </c>
      <c r="C308" s="85" t="s">
        <v>1286</v>
      </c>
      <c r="D308" s="56" t="s">
        <v>1287</v>
      </c>
      <c r="E308" s="56">
        <v>15</v>
      </c>
      <c r="F308" s="56" t="s">
        <v>226</v>
      </c>
      <c r="G308" s="56" t="s">
        <v>89</v>
      </c>
      <c r="H308" s="56" t="s">
        <v>1561</v>
      </c>
      <c r="I308" s="56" t="s">
        <v>1563</v>
      </c>
      <c r="J308" t="s">
        <v>1564</v>
      </c>
      <c r="K308" s="54" t="s">
        <v>198</v>
      </c>
      <c r="L308" s="54" t="s">
        <v>199</v>
      </c>
      <c r="M308" s="54" t="s">
        <v>200</v>
      </c>
      <c r="N308" s="54" t="s">
        <v>111</v>
      </c>
    </row>
    <row r="309" spans="1:14" hidden="1">
      <c r="A309" s="108">
        <v>308</v>
      </c>
      <c r="B309" s="56" t="s">
        <v>1296</v>
      </c>
      <c r="C309" s="85" t="s">
        <v>1288</v>
      </c>
      <c r="D309" s="56" t="s">
        <v>1289</v>
      </c>
      <c r="E309" s="56">
        <v>8</v>
      </c>
      <c r="F309" s="56" t="s">
        <v>1045</v>
      </c>
      <c r="G309" s="56" t="s">
        <v>89</v>
      </c>
      <c r="H309" s="56" t="s">
        <v>1561</v>
      </c>
      <c r="I309" s="54" t="s">
        <v>1290</v>
      </c>
      <c r="J309" s="54" t="s">
        <v>598</v>
      </c>
      <c r="K309" s="54" t="s">
        <v>108</v>
      </c>
      <c r="L309" s="54" t="s">
        <v>130</v>
      </c>
      <c r="M309" s="54" t="s">
        <v>110</v>
      </c>
      <c r="N309" s="54" t="s">
        <v>117</v>
      </c>
    </row>
    <row r="310" spans="1:14" hidden="1">
      <c r="A310" s="108">
        <v>309</v>
      </c>
      <c r="B310" s="56" t="s">
        <v>22</v>
      </c>
      <c r="C310" s="85" t="s">
        <v>946</v>
      </c>
      <c r="D310" s="56" t="s">
        <v>947</v>
      </c>
      <c r="E310" s="56">
        <v>20</v>
      </c>
      <c r="F310" s="56" t="s">
        <v>102</v>
      </c>
      <c r="G310" s="56" t="s">
        <v>948</v>
      </c>
      <c r="H310" s="56" t="s">
        <v>1565</v>
      </c>
      <c r="I310" s="54" t="s">
        <v>949</v>
      </c>
      <c r="J310" s="54" t="s">
        <v>950</v>
      </c>
      <c r="K310" s="54" t="s">
        <v>108</v>
      </c>
      <c r="L310" s="54" t="s">
        <v>130</v>
      </c>
      <c r="M310" t="s">
        <v>110</v>
      </c>
      <c r="N310" s="54" t="s">
        <v>162</v>
      </c>
    </row>
    <row r="311" spans="1:14" hidden="1">
      <c r="A311" s="115">
        <v>310</v>
      </c>
      <c r="B311" s="56" t="s">
        <v>22</v>
      </c>
      <c r="C311" s="85" t="s">
        <v>1566</v>
      </c>
      <c r="D311" s="56" t="s">
        <v>1567</v>
      </c>
      <c r="E311" s="56">
        <v>22</v>
      </c>
      <c r="F311" s="56" t="s">
        <v>143</v>
      </c>
      <c r="G311" s="56" t="s">
        <v>948</v>
      </c>
      <c r="H311" s="56" t="s">
        <v>1565</v>
      </c>
      <c r="I311" s="56" t="s">
        <v>1568</v>
      </c>
      <c r="J311" t="s">
        <v>1569</v>
      </c>
      <c r="K311" s="54" t="s">
        <v>135</v>
      </c>
      <c r="L311" s="54" t="s">
        <v>136</v>
      </c>
      <c r="M311" s="54" t="s">
        <v>150</v>
      </c>
      <c r="N311" s="54" t="s">
        <v>162</v>
      </c>
    </row>
    <row r="312" spans="1:14" hidden="1">
      <c r="A312" s="108">
        <v>311</v>
      </c>
      <c r="B312" s="56" t="s">
        <v>22</v>
      </c>
      <c r="C312" s="85" t="s">
        <v>1570</v>
      </c>
      <c r="D312" s="56" t="s">
        <v>1571</v>
      </c>
      <c r="E312" s="56">
        <v>25</v>
      </c>
      <c r="F312" s="56" t="s">
        <v>143</v>
      </c>
      <c r="G312" s="56" t="s">
        <v>948</v>
      </c>
      <c r="H312" s="56" t="s">
        <v>1565</v>
      </c>
      <c r="I312" s="56" t="s">
        <v>1572</v>
      </c>
      <c r="J312" t="s">
        <v>554</v>
      </c>
      <c r="K312" s="54" t="s">
        <v>108</v>
      </c>
      <c r="L312" s="54" t="s">
        <v>130</v>
      </c>
      <c r="M312" t="s">
        <v>110</v>
      </c>
      <c r="N312" s="54" t="s">
        <v>162</v>
      </c>
    </row>
    <row r="313" spans="1:14" hidden="1">
      <c r="A313" s="115">
        <v>312</v>
      </c>
      <c r="B313" s="56" t="s">
        <v>22</v>
      </c>
      <c r="C313" s="85" t="s">
        <v>951</v>
      </c>
      <c r="D313" s="56" t="s">
        <v>865</v>
      </c>
      <c r="E313" s="56">
        <v>12</v>
      </c>
      <c r="F313" s="56" t="s">
        <v>952</v>
      </c>
      <c r="G313" s="56" t="s">
        <v>948</v>
      </c>
      <c r="H313" s="56" t="s">
        <v>1565</v>
      </c>
      <c r="I313" s="56" t="s">
        <v>1573</v>
      </c>
      <c r="J313" t="s">
        <v>208</v>
      </c>
      <c r="K313" s="54" t="s">
        <v>108</v>
      </c>
      <c r="L313" s="54" t="s">
        <v>130</v>
      </c>
      <c r="M313" s="54" t="s">
        <v>110</v>
      </c>
      <c r="N313" s="54" t="s">
        <v>117</v>
      </c>
    </row>
    <row r="314" spans="1:14" hidden="1">
      <c r="A314" s="115">
        <v>313</v>
      </c>
      <c r="B314" s="56" t="s">
        <v>22</v>
      </c>
      <c r="C314" s="85" t="s">
        <v>1574</v>
      </c>
      <c r="D314" s="56" t="s">
        <v>1575</v>
      </c>
      <c r="E314" s="56">
        <v>12</v>
      </c>
      <c r="F314" s="56" t="s">
        <v>952</v>
      </c>
      <c r="G314" s="56" t="s">
        <v>948</v>
      </c>
      <c r="H314" s="56" t="s">
        <v>1565</v>
      </c>
      <c r="I314" s="56" t="s">
        <v>1573</v>
      </c>
      <c r="J314" t="s">
        <v>208</v>
      </c>
      <c r="K314" s="54" t="s">
        <v>108</v>
      </c>
      <c r="L314" s="54" t="s">
        <v>130</v>
      </c>
      <c r="M314" s="54" t="s">
        <v>110</v>
      </c>
      <c r="N314" s="54" t="s">
        <v>111</v>
      </c>
    </row>
    <row r="315" spans="1:14" hidden="1">
      <c r="A315" s="108">
        <v>314</v>
      </c>
      <c r="B315" s="56" t="s">
        <v>22</v>
      </c>
      <c r="C315" s="85" t="s">
        <v>1576</v>
      </c>
      <c r="D315" s="56" t="s">
        <v>1577</v>
      </c>
      <c r="E315" s="56">
        <v>14</v>
      </c>
      <c r="F315" s="56" t="s">
        <v>952</v>
      </c>
      <c r="G315" s="56" t="s">
        <v>948</v>
      </c>
      <c r="H315" s="56" t="s">
        <v>1565</v>
      </c>
      <c r="I315" s="56" t="s">
        <v>1578</v>
      </c>
      <c r="J315" t="s">
        <v>1545</v>
      </c>
      <c r="K315" s="54" t="s">
        <v>108</v>
      </c>
      <c r="L315" s="54" t="s">
        <v>130</v>
      </c>
      <c r="M315" s="54" t="s">
        <v>110</v>
      </c>
      <c r="N315" s="54" t="s">
        <v>117</v>
      </c>
    </row>
    <row r="316" spans="1:14" hidden="1">
      <c r="A316" s="108">
        <v>315</v>
      </c>
      <c r="B316" s="56" t="s">
        <v>22</v>
      </c>
      <c r="C316" s="85" t="s">
        <v>953</v>
      </c>
      <c r="D316" s="56" t="s">
        <v>954</v>
      </c>
      <c r="E316" s="56">
        <v>26</v>
      </c>
      <c r="F316" s="56" t="s">
        <v>143</v>
      </c>
      <c r="G316" s="56" t="s">
        <v>948</v>
      </c>
      <c r="H316" s="56" t="s">
        <v>1565</v>
      </c>
      <c r="I316" s="54" t="s">
        <v>128</v>
      </c>
      <c r="J316" s="54" t="s">
        <v>955</v>
      </c>
      <c r="K316" s="54" t="s">
        <v>108</v>
      </c>
      <c r="L316" s="54" t="s">
        <v>130</v>
      </c>
      <c r="M316" t="s">
        <v>110</v>
      </c>
      <c r="N316" s="54" t="s">
        <v>162</v>
      </c>
    </row>
    <row r="317" spans="1:14" hidden="1">
      <c r="A317" s="115">
        <v>316</v>
      </c>
      <c r="B317" s="56" t="s">
        <v>22</v>
      </c>
      <c r="C317" s="85" t="s">
        <v>956</v>
      </c>
      <c r="D317" s="56" t="s">
        <v>957</v>
      </c>
      <c r="E317" s="56">
        <v>19</v>
      </c>
      <c r="F317" s="56" t="s">
        <v>102</v>
      </c>
      <c r="G317" s="56" t="s">
        <v>948</v>
      </c>
      <c r="H317" s="56" t="s">
        <v>1565</v>
      </c>
      <c r="I317" s="54" t="s">
        <v>958</v>
      </c>
      <c r="J317" s="54" t="s">
        <v>959</v>
      </c>
      <c r="K317" s="54" t="s">
        <v>108</v>
      </c>
      <c r="L317" s="54" t="s">
        <v>130</v>
      </c>
      <c r="M317" s="54" t="s">
        <v>110</v>
      </c>
      <c r="N317" s="54" t="s">
        <v>111</v>
      </c>
    </row>
    <row r="318" spans="1:14" hidden="1">
      <c r="A318" s="115">
        <v>317</v>
      </c>
      <c r="B318" s="56" t="s">
        <v>22</v>
      </c>
      <c r="C318" s="85" t="s">
        <v>1579</v>
      </c>
      <c r="D318" s="56" t="s">
        <v>1580</v>
      </c>
      <c r="E318" s="56">
        <v>18</v>
      </c>
      <c r="F318" s="56" t="s">
        <v>382</v>
      </c>
      <c r="G318" s="56" t="s">
        <v>69</v>
      </c>
      <c r="I318" s="56" t="s">
        <v>1167</v>
      </c>
      <c r="J318" t="s">
        <v>384</v>
      </c>
      <c r="K318" s="54" t="s">
        <v>135</v>
      </c>
      <c r="L318" s="54" t="s">
        <v>136</v>
      </c>
      <c r="M318" s="54" t="s">
        <v>150</v>
      </c>
      <c r="N318" s="54" t="s">
        <v>117</v>
      </c>
    </row>
    <row r="319" spans="1:14" hidden="1">
      <c r="A319" s="108">
        <v>318</v>
      </c>
      <c r="B319" s="56" t="s">
        <v>22</v>
      </c>
      <c r="C319" s="85" t="s">
        <v>1581</v>
      </c>
      <c r="D319" s="56" t="s">
        <v>1582</v>
      </c>
      <c r="E319" s="56">
        <v>9</v>
      </c>
      <c r="F319" s="56" t="s">
        <v>143</v>
      </c>
      <c r="G319" s="56" t="s">
        <v>69</v>
      </c>
      <c r="I319" s="56" t="s">
        <v>438</v>
      </c>
      <c r="J319" t="s">
        <v>161</v>
      </c>
      <c r="K319" s="54" t="s">
        <v>108</v>
      </c>
      <c r="L319" s="54" t="s">
        <v>135</v>
      </c>
      <c r="M319" s="54" t="s">
        <v>136</v>
      </c>
      <c r="N319" s="54" t="s">
        <v>162</v>
      </c>
    </row>
    <row r="320" spans="1:14" hidden="1">
      <c r="A320" s="108">
        <v>319</v>
      </c>
      <c r="B320" s="56" t="s">
        <v>22</v>
      </c>
      <c r="C320" s="85" t="s">
        <v>847</v>
      </c>
      <c r="D320" s="56" t="s">
        <v>848</v>
      </c>
      <c r="E320" s="56">
        <v>41</v>
      </c>
      <c r="F320" s="56" t="s">
        <v>143</v>
      </c>
      <c r="G320" s="56" t="s">
        <v>69</v>
      </c>
      <c r="I320" s="56" t="s">
        <v>1583</v>
      </c>
      <c r="J320" t="s">
        <v>1001</v>
      </c>
      <c r="K320" s="54" t="s">
        <v>108</v>
      </c>
      <c r="L320" s="54" t="s">
        <v>135</v>
      </c>
      <c r="M320" s="54" t="s">
        <v>136</v>
      </c>
      <c r="N320" s="54" t="s">
        <v>117</v>
      </c>
    </row>
    <row r="321" spans="1:14" hidden="1">
      <c r="A321" s="115">
        <v>320</v>
      </c>
      <c r="B321" s="56" t="s">
        <v>22</v>
      </c>
      <c r="C321" s="85" t="s">
        <v>849</v>
      </c>
      <c r="D321" s="56" t="s">
        <v>850</v>
      </c>
      <c r="E321" s="56">
        <v>41</v>
      </c>
      <c r="F321" s="56" t="s">
        <v>143</v>
      </c>
      <c r="G321" s="56" t="s">
        <v>69</v>
      </c>
      <c r="I321" s="56" t="s">
        <v>1584</v>
      </c>
      <c r="J321" t="s">
        <v>959</v>
      </c>
      <c r="K321" s="54" t="s">
        <v>108</v>
      </c>
      <c r="L321" s="54" t="s">
        <v>130</v>
      </c>
      <c r="M321" t="s">
        <v>110</v>
      </c>
      <c r="N321" s="54" t="s">
        <v>162</v>
      </c>
    </row>
    <row r="322" spans="1:14" hidden="1">
      <c r="A322" s="108">
        <v>321</v>
      </c>
      <c r="B322" s="56" t="s">
        <v>22</v>
      </c>
      <c r="C322" s="85" t="s">
        <v>851</v>
      </c>
      <c r="D322" s="56" t="s">
        <v>852</v>
      </c>
      <c r="E322" s="56">
        <v>22</v>
      </c>
      <c r="F322" s="56" t="s">
        <v>143</v>
      </c>
      <c r="G322" s="56" t="s">
        <v>69</v>
      </c>
      <c r="I322" s="56" t="s">
        <v>1584</v>
      </c>
      <c r="J322" t="s">
        <v>959</v>
      </c>
      <c r="K322" s="54" t="s">
        <v>108</v>
      </c>
      <c r="L322" s="54" t="s">
        <v>130</v>
      </c>
      <c r="M322" t="s">
        <v>110</v>
      </c>
      <c r="N322" s="54" t="s">
        <v>162</v>
      </c>
    </row>
    <row r="323" spans="1:14" hidden="1">
      <c r="A323" s="115">
        <v>322</v>
      </c>
      <c r="B323" s="56" t="s">
        <v>22</v>
      </c>
      <c r="C323" s="85" t="s">
        <v>853</v>
      </c>
      <c r="D323" s="56" t="s">
        <v>854</v>
      </c>
      <c r="E323" s="56">
        <v>29</v>
      </c>
      <c r="F323" s="56" t="s">
        <v>143</v>
      </c>
      <c r="G323" s="56" t="s">
        <v>69</v>
      </c>
      <c r="I323" s="56" t="s">
        <v>1585</v>
      </c>
      <c r="J323" t="s">
        <v>1586</v>
      </c>
      <c r="K323" s="54" t="s">
        <v>198</v>
      </c>
      <c r="L323" s="54" t="s">
        <v>199</v>
      </c>
      <c r="M323" s="54" t="s">
        <v>200</v>
      </c>
      <c r="N323" s="54" t="s">
        <v>111</v>
      </c>
    </row>
    <row r="324" spans="1:14" hidden="1">
      <c r="A324" s="115">
        <v>323</v>
      </c>
      <c r="B324" s="56" t="s">
        <v>22</v>
      </c>
      <c r="C324" s="85" t="s">
        <v>1587</v>
      </c>
      <c r="D324" s="56" t="s">
        <v>1588</v>
      </c>
      <c r="E324" s="56">
        <v>21</v>
      </c>
      <c r="F324" s="56" t="s">
        <v>143</v>
      </c>
      <c r="G324" s="56" t="s">
        <v>69</v>
      </c>
      <c r="I324" s="56" t="s">
        <v>1589</v>
      </c>
      <c r="J324" t="s">
        <v>1590</v>
      </c>
      <c r="K324" s="54" t="s">
        <v>108</v>
      </c>
      <c r="L324" s="54" t="s">
        <v>135</v>
      </c>
      <c r="M324" s="54" t="s">
        <v>136</v>
      </c>
      <c r="N324" s="54" t="s">
        <v>111</v>
      </c>
    </row>
    <row r="325" spans="1:14" hidden="1">
      <c r="A325" s="108">
        <v>324</v>
      </c>
      <c r="B325" s="56" t="s">
        <v>22</v>
      </c>
      <c r="C325" s="85" t="s">
        <v>1591</v>
      </c>
      <c r="D325" s="56" t="s">
        <v>1592</v>
      </c>
      <c r="E325" s="56">
        <v>6</v>
      </c>
      <c r="F325" s="56" t="s">
        <v>143</v>
      </c>
      <c r="G325" s="56" t="s">
        <v>69</v>
      </c>
      <c r="I325" s="56"/>
      <c r="K325" t="s">
        <v>1365</v>
      </c>
      <c r="N325" s="54" t="s">
        <v>12</v>
      </c>
    </row>
    <row r="326" spans="1:14" hidden="1">
      <c r="A326" s="108">
        <v>325</v>
      </c>
      <c r="B326" s="56" t="s">
        <v>21</v>
      </c>
      <c r="C326" s="85" t="s">
        <v>1593</v>
      </c>
      <c r="D326" s="56" t="s">
        <v>1594</v>
      </c>
      <c r="E326" s="56">
        <v>20</v>
      </c>
      <c r="F326" s="56" t="s">
        <v>159</v>
      </c>
      <c r="G326" s="56" t="s">
        <v>545</v>
      </c>
      <c r="H326" s="56" t="s">
        <v>1595</v>
      </c>
      <c r="I326" s="56"/>
      <c r="K326" s="54" t="s">
        <v>186</v>
      </c>
      <c r="L326" t="s">
        <v>187</v>
      </c>
      <c r="M326" s="54"/>
      <c r="N326" s="54" t="s">
        <v>188</v>
      </c>
    </row>
    <row r="327" spans="1:14" hidden="1">
      <c r="A327" s="115">
        <v>326</v>
      </c>
      <c r="B327" s="56" t="s">
        <v>21</v>
      </c>
      <c r="C327" s="85" t="s">
        <v>1596</v>
      </c>
      <c r="D327" s="56" t="s">
        <v>1597</v>
      </c>
      <c r="E327" s="56">
        <v>22</v>
      </c>
      <c r="F327" s="56" t="s">
        <v>159</v>
      </c>
      <c r="G327" s="56" t="s">
        <v>545</v>
      </c>
      <c r="H327" s="56" t="s">
        <v>1595</v>
      </c>
      <c r="I327" s="56"/>
      <c r="K327" t="s">
        <v>1313</v>
      </c>
      <c r="L327" t="s">
        <v>1313</v>
      </c>
      <c r="M327" s="54"/>
      <c r="N327" s="54" t="s">
        <v>16</v>
      </c>
    </row>
    <row r="328" spans="1:14" hidden="1">
      <c r="A328" s="115">
        <v>327</v>
      </c>
      <c r="B328" s="56" t="s">
        <v>21</v>
      </c>
      <c r="C328" s="85" t="s">
        <v>543</v>
      </c>
      <c r="D328" s="56" t="s">
        <v>544</v>
      </c>
      <c r="E328" s="56">
        <v>24</v>
      </c>
      <c r="F328" s="56" t="s">
        <v>159</v>
      </c>
      <c r="G328" s="56" t="s">
        <v>545</v>
      </c>
      <c r="H328" s="56" t="s">
        <v>1595</v>
      </c>
      <c r="I328" s="56"/>
      <c r="K328" t="s">
        <v>1365</v>
      </c>
      <c r="N328" s="54" t="s">
        <v>12</v>
      </c>
    </row>
    <row r="329" spans="1:14" hidden="1">
      <c r="A329" s="108">
        <v>328</v>
      </c>
      <c r="B329" s="56" t="s">
        <v>21</v>
      </c>
      <c r="C329" s="85" t="s">
        <v>546</v>
      </c>
      <c r="D329" s="56" t="s">
        <v>547</v>
      </c>
      <c r="E329" s="56">
        <v>5</v>
      </c>
      <c r="F329" s="56" t="s">
        <v>382</v>
      </c>
      <c r="G329" s="56" t="s">
        <v>545</v>
      </c>
      <c r="H329" s="56" t="s">
        <v>1598</v>
      </c>
      <c r="I329" s="54" t="s">
        <v>548</v>
      </c>
      <c r="J329" s="54" t="s">
        <v>341</v>
      </c>
      <c r="K329" s="54" t="s">
        <v>108</v>
      </c>
      <c r="L329" s="54" t="s">
        <v>130</v>
      </c>
      <c r="M329" t="s">
        <v>110</v>
      </c>
      <c r="N329" s="54" t="s">
        <v>162</v>
      </c>
    </row>
    <row r="330" spans="1:14" hidden="1">
      <c r="A330" s="108">
        <v>329</v>
      </c>
      <c r="B330" s="56" t="s">
        <v>21</v>
      </c>
      <c r="C330" s="85" t="s">
        <v>1599</v>
      </c>
      <c r="D330" s="56" t="s">
        <v>751</v>
      </c>
      <c r="E330" s="56">
        <v>27</v>
      </c>
      <c r="F330" s="56" t="s">
        <v>159</v>
      </c>
      <c r="G330" s="56" t="s">
        <v>545</v>
      </c>
      <c r="H330" s="56" t="s">
        <v>1595</v>
      </c>
      <c r="I330" s="56"/>
      <c r="K330" t="s">
        <v>1313</v>
      </c>
      <c r="L330" t="s">
        <v>1313</v>
      </c>
      <c r="M330" s="54"/>
      <c r="N330" s="54" t="s">
        <v>16</v>
      </c>
    </row>
    <row r="331" spans="1:14" hidden="1">
      <c r="A331" s="115">
        <v>330</v>
      </c>
      <c r="B331" s="56" t="s">
        <v>21</v>
      </c>
      <c r="C331" s="85" t="s">
        <v>549</v>
      </c>
      <c r="D331" s="56" t="s">
        <v>550</v>
      </c>
      <c r="E331" s="56">
        <v>31</v>
      </c>
      <c r="F331" s="56" t="s">
        <v>159</v>
      </c>
      <c r="G331" s="56" t="s">
        <v>545</v>
      </c>
      <c r="H331" s="56" t="s">
        <v>1595</v>
      </c>
      <c r="I331" s="56"/>
      <c r="K331" t="s">
        <v>1365</v>
      </c>
      <c r="N331" s="54" t="s">
        <v>12</v>
      </c>
    </row>
    <row r="332" spans="1:14" hidden="1">
      <c r="A332" s="108">
        <v>331</v>
      </c>
      <c r="B332" s="56" t="s">
        <v>21</v>
      </c>
      <c r="C332" s="85" t="s">
        <v>551</v>
      </c>
      <c r="D332" s="56" t="s">
        <v>552</v>
      </c>
      <c r="E332" s="56">
        <v>10</v>
      </c>
      <c r="F332" s="56" t="s">
        <v>382</v>
      </c>
      <c r="G332" s="56" t="s">
        <v>545</v>
      </c>
      <c r="H332" s="56" t="s">
        <v>1598</v>
      </c>
      <c r="I332" s="54" t="s">
        <v>553</v>
      </c>
      <c r="J332" s="54" t="s">
        <v>554</v>
      </c>
      <c r="K332" s="54" t="s">
        <v>108</v>
      </c>
      <c r="L332" s="54" t="s">
        <v>130</v>
      </c>
      <c r="M332" s="54" t="s">
        <v>110</v>
      </c>
      <c r="N332" s="54" t="s">
        <v>117</v>
      </c>
    </row>
    <row r="333" spans="1:14" hidden="1">
      <c r="A333" s="115">
        <v>332</v>
      </c>
      <c r="B333" s="56" t="s">
        <v>21</v>
      </c>
      <c r="C333" s="85" t="s">
        <v>555</v>
      </c>
      <c r="D333" s="56" t="s">
        <v>556</v>
      </c>
      <c r="E333" s="56">
        <v>17</v>
      </c>
      <c r="F333" s="56" t="s">
        <v>382</v>
      </c>
      <c r="G333" s="56" t="s">
        <v>545</v>
      </c>
      <c r="H333" s="56" t="s">
        <v>1598</v>
      </c>
      <c r="I333" s="54" t="s">
        <v>557</v>
      </c>
      <c r="J333" s="54" t="s">
        <v>554</v>
      </c>
      <c r="K333" s="54" t="s">
        <v>108</v>
      </c>
      <c r="L333" s="54" t="s">
        <v>130</v>
      </c>
      <c r="M333" s="54" t="s">
        <v>110</v>
      </c>
      <c r="N333" s="54" t="s">
        <v>117</v>
      </c>
    </row>
    <row r="334" spans="1:14" hidden="1">
      <c r="A334" s="115">
        <v>333</v>
      </c>
      <c r="B334" s="56" t="s">
        <v>21</v>
      </c>
      <c r="C334" s="85" t="s">
        <v>1600</v>
      </c>
      <c r="D334" s="56" t="s">
        <v>1601</v>
      </c>
      <c r="E334" s="56">
        <v>36</v>
      </c>
      <c r="F334" s="56" t="s">
        <v>159</v>
      </c>
      <c r="G334" s="56" t="s">
        <v>545</v>
      </c>
      <c r="H334" s="56" t="s">
        <v>1595</v>
      </c>
      <c r="I334" s="56"/>
      <c r="K334" s="54" t="s">
        <v>186</v>
      </c>
      <c r="L334" t="s">
        <v>187</v>
      </c>
      <c r="M334" s="54"/>
      <c r="N334" s="54" t="s">
        <v>188</v>
      </c>
    </row>
    <row r="335" spans="1:14" hidden="1">
      <c r="A335" s="108">
        <v>334</v>
      </c>
      <c r="B335" s="56" t="s">
        <v>21</v>
      </c>
      <c r="C335" s="85" t="s">
        <v>558</v>
      </c>
      <c r="D335" s="56" t="s">
        <v>559</v>
      </c>
      <c r="E335" s="56">
        <v>25</v>
      </c>
      <c r="F335" s="56" t="s">
        <v>402</v>
      </c>
      <c r="G335" s="56" t="s">
        <v>545</v>
      </c>
      <c r="H335" s="56" t="s">
        <v>1598</v>
      </c>
      <c r="I335" s="54" t="s">
        <v>310</v>
      </c>
      <c r="J335" s="54" t="s">
        <v>212</v>
      </c>
      <c r="K335" s="54" t="s">
        <v>135</v>
      </c>
      <c r="L335" s="54" t="s">
        <v>136</v>
      </c>
      <c r="M335" s="54" t="s">
        <v>150</v>
      </c>
      <c r="N335" s="54" t="s">
        <v>111</v>
      </c>
    </row>
    <row r="336" spans="1:14" hidden="1">
      <c r="A336" s="108">
        <v>335</v>
      </c>
      <c r="B336" s="56" t="s">
        <v>21</v>
      </c>
      <c r="C336" s="85" t="s">
        <v>560</v>
      </c>
      <c r="D336" s="56" t="s">
        <v>561</v>
      </c>
      <c r="E336" s="56">
        <v>18</v>
      </c>
      <c r="F336" s="56" t="s">
        <v>402</v>
      </c>
      <c r="G336" s="56" t="s">
        <v>545</v>
      </c>
      <c r="H336" s="56" t="s">
        <v>1598</v>
      </c>
      <c r="I336" s="54" t="s">
        <v>540</v>
      </c>
      <c r="J336" s="54" t="s">
        <v>212</v>
      </c>
      <c r="K336" s="54" t="s">
        <v>135</v>
      </c>
      <c r="L336" s="54" t="s">
        <v>136</v>
      </c>
      <c r="M336" s="54" t="s">
        <v>150</v>
      </c>
      <c r="N336" s="54" t="s">
        <v>111</v>
      </c>
    </row>
    <row r="337" spans="1:14" hidden="1">
      <c r="A337" s="115">
        <v>336</v>
      </c>
      <c r="B337" s="56" t="s">
        <v>21</v>
      </c>
      <c r="C337" s="85" t="s">
        <v>522</v>
      </c>
      <c r="D337" s="56" t="s">
        <v>523</v>
      </c>
      <c r="E337" s="56">
        <v>27</v>
      </c>
      <c r="F337" s="56" t="s">
        <v>159</v>
      </c>
      <c r="G337" s="56" t="s">
        <v>524</v>
      </c>
      <c r="H337" s="56" t="s">
        <v>1602</v>
      </c>
      <c r="I337" s="56"/>
      <c r="K337" s="54" t="s">
        <v>1321</v>
      </c>
      <c r="L337" s="54"/>
      <c r="M337" s="54"/>
      <c r="N337" s="54" t="s">
        <v>122</v>
      </c>
    </row>
    <row r="338" spans="1:14" hidden="1">
      <c r="A338" s="115">
        <v>337</v>
      </c>
      <c r="B338" s="56" t="s">
        <v>21</v>
      </c>
      <c r="C338" s="85" t="s">
        <v>525</v>
      </c>
      <c r="D338" s="56" t="s">
        <v>526</v>
      </c>
      <c r="E338" s="56">
        <v>25</v>
      </c>
      <c r="F338" s="56" t="s">
        <v>159</v>
      </c>
      <c r="G338" s="56" t="s">
        <v>524</v>
      </c>
      <c r="H338" s="56" t="s">
        <v>1602</v>
      </c>
      <c r="I338" s="56"/>
      <c r="K338" t="s">
        <v>1365</v>
      </c>
      <c r="N338" s="54" t="s">
        <v>12</v>
      </c>
    </row>
    <row r="339" spans="1:14" hidden="1">
      <c r="A339" s="108">
        <v>338</v>
      </c>
      <c r="B339" s="56" t="s">
        <v>21</v>
      </c>
      <c r="C339" s="85" t="s">
        <v>527</v>
      </c>
      <c r="D339" s="56" t="s">
        <v>528</v>
      </c>
      <c r="E339" s="56">
        <v>21</v>
      </c>
      <c r="F339" s="56" t="s">
        <v>159</v>
      </c>
      <c r="G339" s="56" t="s">
        <v>524</v>
      </c>
      <c r="H339" s="56" t="s">
        <v>1602</v>
      </c>
      <c r="I339" s="54" t="s">
        <v>529</v>
      </c>
      <c r="J339" s="54" t="s">
        <v>530</v>
      </c>
      <c r="K339" s="54" t="s">
        <v>108</v>
      </c>
      <c r="L339" s="54" t="s">
        <v>130</v>
      </c>
      <c r="M339" s="54" t="s">
        <v>110</v>
      </c>
      <c r="N339" s="54" t="s">
        <v>111</v>
      </c>
    </row>
    <row r="340" spans="1:14" hidden="1">
      <c r="A340" s="108">
        <v>339</v>
      </c>
      <c r="B340" s="56" t="s">
        <v>21</v>
      </c>
      <c r="C340" s="85" t="s">
        <v>531</v>
      </c>
      <c r="D340" s="56" t="s">
        <v>532</v>
      </c>
      <c r="E340" s="56">
        <v>7</v>
      </c>
      <c r="F340" s="56" t="s">
        <v>402</v>
      </c>
      <c r="G340" s="56" t="s">
        <v>524</v>
      </c>
      <c r="H340" s="56" t="s">
        <v>1602</v>
      </c>
      <c r="I340" s="54" t="s">
        <v>533</v>
      </c>
      <c r="J340" s="54" t="s">
        <v>337</v>
      </c>
      <c r="K340" s="54" t="s">
        <v>116</v>
      </c>
      <c r="L340" s="54" t="s">
        <v>109</v>
      </c>
      <c r="M340" s="54" t="s">
        <v>110</v>
      </c>
      <c r="N340" s="54" t="s">
        <v>117</v>
      </c>
    </row>
    <row r="341" spans="1:14" hidden="1">
      <c r="A341" s="115">
        <v>340</v>
      </c>
      <c r="B341" s="56" t="s">
        <v>21</v>
      </c>
      <c r="C341" s="85" t="s">
        <v>534</v>
      </c>
      <c r="D341" s="56" t="s">
        <v>535</v>
      </c>
      <c r="E341" s="56">
        <v>24</v>
      </c>
      <c r="F341" s="56" t="s">
        <v>159</v>
      </c>
      <c r="G341" s="56" t="s">
        <v>524</v>
      </c>
      <c r="H341" s="56" t="s">
        <v>1602</v>
      </c>
      <c r="I341" s="54" t="s">
        <v>536</v>
      </c>
      <c r="J341" s="54" t="s">
        <v>537</v>
      </c>
      <c r="K341" s="54" t="s">
        <v>108</v>
      </c>
      <c r="L341" s="54" t="s">
        <v>135</v>
      </c>
      <c r="M341" s="54" t="s">
        <v>136</v>
      </c>
      <c r="N341" s="54" t="s">
        <v>111</v>
      </c>
    </row>
    <row r="342" spans="1:14" hidden="1">
      <c r="A342" s="108">
        <v>341</v>
      </c>
      <c r="B342" s="56" t="s">
        <v>21</v>
      </c>
      <c r="C342" s="85" t="s">
        <v>538</v>
      </c>
      <c r="D342" s="56" t="s">
        <v>539</v>
      </c>
      <c r="E342" s="56">
        <v>26</v>
      </c>
      <c r="F342" s="56" t="s">
        <v>159</v>
      </c>
      <c r="G342" s="56" t="s">
        <v>524</v>
      </c>
      <c r="H342" s="56" t="s">
        <v>1602</v>
      </c>
      <c r="I342" s="54" t="s">
        <v>540</v>
      </c>
      <c r="J342" s="54" t="s">
        <v>161</v>
      </c>
      <c r="K342" s="54" t="s">
        <v>108</v>
      </c>
      <c r="L342" s="54" t="s">
        <v>135</v>
      </c>
      <c r="M342" s="54" t="s">
        <v>136</v>
      </c>
      <c r="N342" s="54" t="s">
        <v>117</v>
      </c>
    </row>
    <row r="343" spans="1:14" hidden="1">
      <c r="A343" s="115">
        <v>342</v>
      </c>
      <c r="B343" s="56" t="s">
        <v>21</v>
      </c>
      <c r="C343" s="85" t="s">
        <v>541</v>
      </c>
      <c r="D343" s="56" t="s">
        <v>542</v>
      </c>
      <c r="E343" s="56">
        <v>31</v>
      </c>
      <c r="F343" s="56" t="s">
        <v>159</v>
      </c>
      <c r="G343" s="56" t="s">
        <v>524</v>
      </c>
      <c r="H343" s="56" t="s">
        <v>1602</v>
      </c>
      <c r="I343" s="56"/>
      <c r="K343" t="s">
        <v>1365</v>
      </c>
      <c r="N343" s="54" t="s">
        <v>12</v>
      </c>
    </row>
    <row r="344" spans="1:14" hidden="1">
      <c r="A344" s="115">
        <v>343</v>
      </c>
      <c r="B344" s="56" t="s">
        <v>21</v>
      </c>
      <c r="C344" s="85" t="s">
        <v>562</v>
      </c>
      <c r="D344" s="56" t="s">
        <v>563</v>
      </c>
      <c r="E344" s="56">
        <v>14</v>
      </c>
      <c r="F344" s="56" t="s">
        <v>287</v>
      </c>
      <c r="G344" s="56" t="s">
        <v>59</v>
      </c>
      <c r="H344" s="56" t="s">
        <v>1603</v>
      </c>
      <c r="I344" s="54" t="s">
        <v>557</v>
      </c>
      <c r="J344" s="54" t="s">
        <v>564</v>
      </c>
      <c r="K344" s="54" t="s">
        <v>108</v>
      </c>
      <c r="L344" s="54" t="s">
        <v>130</v>
      </c>
      <c r="M344" t="s">
        <v>110</v>
      </c>
      <c r="N344" s="54" t="s">
        <v>162</v>
      </c>
    </row>
    <row r="345" spans="1:14" hidden="1">
      <c r="A345" s="108">
        <v>344</v>
      </c>
      <c r="B345" s="56" t="s">
        <v>21</v>
      </c>
      <c r="C345" s="85" t="s">
        <v>385</v>
      </c>
      <c r="D345" s="56" t="s">
        <v>386</v>
      </c>
      <c r="E345" s="56">
        <v>25</v>
      </c>
      <c r="F345" s="56" t="s">
        <v>382</v>
      </c>
      <c r="G345" s="56" t="s">
        <v>49</v>
      </c>
      <c r="H345" s="56" t="s">
        <v>1604</v>
      </c>
      <c r="I345" s="54" t="s">
        <v>387</v>
      </c>
      <c r="J345" s="54" t="s">
        <v>341</v>
      </c>
      <c r="K345" s="54" t="s">
        <v>108</v>
      </c>
      <c r="L345" s="54" t="s">
        <v>130</v>
      </c>
      <c r="M345" s="54" t="s">
        <v>110</v>
      </c>
      <c r="N345" s="54" t="s">
        <v>111</v>
      </c>
    </row>
    <row r="346" spans="1:14" hidden="1">
      <c r="A346" s="108">
        <v>345</v>
      </c>
      <c r="B346" s="56" t="s">
        <v>21</v>
      </c>
      <c r="C346" s="85" t="s">
        <v>388</v>
      </c>
      <c r="D346" s="56" t="s">
        <v>389</v>
      </c>
      <c r="E346" s="56">
        <v>12</v>
      </c>
      <c r="F346" s="56" t="s">
        <v>390</v>
      </c>
      <c r="G346" s="56" t="s">
        <v>49</v>
      </c>
      <c r="H346" s="56" t="s">
        <v>1604</v>
      </c>
      <c r="I346" s="54" t="s">
        <v>391</v>
      </c>
      <c r="J346" s="54" t="s">
        <v>384</v>
      </c>
      <c r="K346" s="54" t="s">
        <v>108</v>
      </c>
      <c r="L346" s="54" t="s">
        <v>135</v>
      </c>
      <c r="M346" s="54" t="s">
        <v>136</v>
      </c>
      <c r="N346" s="54" t="s">
        <v>117</v>
      </c>
    </row>
    <row r="347" spans="1:14" hidden="1">
      <c r="A347" s="115">
        <v>346</v>
      </c>
      <c r="B347" s="56" t="s">
        <v>21</v>
      </c>
      <c r="C347" s="85" t="s">
        <v>405</v>
      </c>
      <c r="D347" s="56" t="s">
        <v>406</v>
      </c>
      <c r="E347" s="56">
        <v>15</v>
      </c>
      <c r="F347" s="56" t="s">
        <v>287</v>
      </c>
      <c r="G347" s="56" t="s">
        <v>407</v>
      </c>
      <c r="H347" s="56" t="s">
        <v>1605</v>
      </c>
      <c r="I347" s="54" t="s">
        <v>408</v>
      </c>
      <c r="J347" s="54" t="s">
        <v>341</v>
      </c>
      <c r="K347" s="54" t="s">
        <v>108</v>
      </c>
      <c r="L347" s="54" t="s">
        <v>130</v>
      </c>
      <c r="M347" s="54" t="s">
        <v>110</v>
      </c>
      <c r="N347" s="54" t="s">
        <v>117</v>
      </c>
    </row>
    <row r="348" spans="1:14" hidden="1">
      <c r="A348" s="115">
        <v>347</v>
      </c>
      <c r="B348" s="56" t="s">
        <v>21</v>
      </c>
      <c r="C348" s="85" t="s">
        <v>409</v>
      </c>
      <c r="D348" s="56" t="s">
        <v>410</v>
      </c>
      <c r="E348" s="56">
        <v>6</v>
      </c>
      <c r="F348" s="56" t="s">
        <v>382</v>
      </c>
      <c r="G348" s="56" t="s">
        <v>407</v>
      </c>
      <c r="H348" s="56" t="s">
        <v>1605</v>
      </c>
      <c r="I348" s="54" t="s">
        <v>411</v>
      </c>
      <c r="J348" s="54" t="s">
        <v>412</v>
      </c>
      <c r="K348" s="54" t="s">
        <v>108</v>
      </c>
      <c r="L348" s="54" t="s">
        <v>109</v>
      </c>
      <c r="M348" s="54" t="s">
        <v>110</v>
      </c>
      <c r="N348" s="54" t="s">
        <v>111</v>
      </c>
    </row>
    <row r="349" spans="1:14" hidden="1">
      <c r="A349" s="108">
        <v>348</v>
      </c>
      <c r="B349" s="56" t="s">
        <v>21</v>
      </c>
      <c r="C349" s="85" t="s">
        <v>439</v>
      </c>
      <c r="D349" s="56" t="s">
        <v>440</v>
      </c>
      <c r="E349" s="56">
        <v>15</v>
      </c>
      <c r="F349" s="56" t="s">
        <v>441</v>
      </c>
      <c r="G349" s="56" t="s">
        <v>54</v>
      </c>
      <c r="H349" s="56" t="s">
        <v>1606</v>
      </c>
      <c r="I349" s="54" t="s">
        <v>442</v>
      </c>
      <c r="J349" s="54" t="s">
        <v>212</v>
      </c>
      <c r="K349" s="54" t="s">
        <v>110</v>
      </c>
      <c r="L349" s="54" t="s">
        <v>250</v>
      </c>
      <c r="M349" s="54" t="s">
        <v>443</v>
      </c>
      <c r="N349" s="54" t="s">
        <v>117</v>
      </c>
    </row>
    <row r="350" spans="1:14" hidden="1">
      <c r="A350" s="108">
        <v>349</v>
      </c>
      <c r="B350" s="56" t="s">
        <v>21</v>
      </c>
      <c r="C350" s="85" t="s">
        <v>430</v>
      </c>
      <c r="D350" s="56" t="s">
        <v>431</v>
      </c>
      <c r="E350" s="56">
        <v>34</v>
      </c>
      <c r="F350" s="56" t="s">
        <v>159</v>
      </c>
      <c r="G350" s="56" t="s">
        <v>437</v>
      </c>
      <c r="H350" s="56" t="s">
        <v>1607</v>
      </c>
      <c r="K350" t="s">
        <v>1365</v>
      </c>
      <c r="N350" s="54" t="s">
        <v>12</v>
      </c>
    </row>
    <row r="351" spans="1:14" hidden="1">
      <c r="A351" s="115">
        <v>350</v>
      </c>
      <c r="B351" s="56" t="s">
        <v>21</v>
      </c>
      <c r="C351" s="85" t="s">
        <v>432</v>
      </c>
      <c r="D351" s="56" t="s">
        <v>433</v>
      </c>
      <c r="E351" s="56">
        <v>26</v>
      </c>
      <c r="F351" s="56" t="s">
        <v>159</v>
      </c>
      <c r="G351" s="56" t="s">
        <v>437</v>
      </c>
      <c r="H351" s="56" t="s">
        <v>1607</v>
      </c>
      <c r="K351" t="s">
        <v>1365</v>
      </c>
      <c r="N351" s="54" t="s">
        <v>12</v>
      </c>
    </row>
    <row r="352" spans="1:14" hidden="1">
      <c r="A352" s="108">
        <v>351</v>
      </c>
      <c r="B352" s="56" t="s">
        <v>21</v>
      </c>
      <c r="C352" s="85" t="s">
        <v>1608</v>
      </c>
      <c r="D352" s="56" t="s">
        <v>1609</v>
      </c>
      <c r="E352" s="56">
        <v>33</v>
      </c>
      <c r="F352" s="56" t="s">
        <v>159</v>
      </c>
      <c r="G352" s="56" t="s">
        <v>437</v>
      </c>
      <c r="H352" s="56" t="s">
        <v>1607</v>
      </c>
      <c r="K352" t="s">
        <v>1365</v>
      </c>
      <c r="N352" s="54" t="s">
        <v>12</v>
      </c>
    </row>
    <row r="353" spans="1:16" hidden="1">
      <c r="A353" s="115">
        <v>352</v>
      </c>
      <c r="B353" s="56" t="s">
        <v>21</v>
      </c>
      <c r="C353" s="85" t="s">
        <v>434</v>
      </c>
      <c r="D353" s="56" t="s">
        <v>435</v>
      </c>
      <c r="E353" s="56">
        <v>10</v>
      </c>
      <c r="F353" s="56" t="s">
        <v>436</v>
      </c>
      <c r="G353" s="56" t="s">
        <v>437</v>
      </c>
      <c r="H353" s="56" t="s">
        <v>1607</v>
      </c>
      <c r="I353" s="54" t="s">
        <v>438</v>
      </c>
      <c r="J353" s="54" t="s">
        <v>412</v>
      </c>
      <c r="K353" s="54" t="s">
        <v>108</v>
      </c>
      <c r="L353" s="54" t="s">
        <v>109</v>
      </c>
      <c r="M353" s="54" t="s">
        <v>110</v>
      </c>
      <c r="N353" s="54" t="s">
        <v>111</v>
      </c>
    </row>
    <row r="354" spans="1:16" hidden="1">
      <c r="A354" s="115">
        <v>353</v>
      </c>
      <c r="B354" s="56" t="s">
        <v>21</v>
      </c>
      <c r="C354" s="85" t="s">
        <v>1610</v>
      </c>
      <c r="D354" s="56" t="s">
        <v>1611</v>
      </c>
      <c r="E354" s="56">
        <v>24</v>
      </c>
      <c r="F354" s="56" t="s">
        <v>159</v>
      </c>
      <c r="G354" s="56" t="s">
        <v>437</v>
      </c>
      <c r="H354" s="56" t="s">
        <v>1607</v>
      </c>
      <c r="K354" t="s">
        <v>1365</v>
      </c>
      <c r="N354" s="54" t="s">
        <v>12</v>
      </c>
    </row>
    <row r="355" spans="1:16" hidden="1">
      <c r="A355" s="108">
        <v>354</v>
      </c>
      <c r="B355" s="56" t="s">
        <v>21</v>
      </c>
      <c r="C355" s="85" t="s">
        <v>1612</v>
      </c>
      <c r="D355" s="56" t="s">
        <v>1613</v>
      </c>
      <c r="E355" s="56">
        <v>14</v>
      </c>
      <c r="F355" s="56" t="s">
        <v>102</v>
      </c>
      <c r="G355" s="56" t="s">
        <v>48</v>
      </c>
      <c r="H355" s="56" t="s">
        <v>1614</v>
      </c>
      <c r="I355" s="87" t="s">
        <v>1615</v>
      </c>
      <c r="J355" t="s">
        <v>212</v>
      </c>
      <c r="K355" s="54" t="s">
        <v>110</v>
      </c>
      <c r="L355" s="54" t="s">
        <v>250</v>
      </c>
      <c r="M355" s="54" t="s">
        <v>443</v>
      </c>
      <c r="N355" s="54" t="s">
        <v>117</v>
      </c>
    </row>
    <row r="356" spans="1:16" hidden="1">
      <c r="A356" s="108">
        <v>355</v>
      </c>
      <c r="B356" s="56" t="s">
        <v>21</v>
      </c>
      <c r="C356" s="85" t="s">
        <v>285</v>
      </c>
      <c r="D356" s="87" t="s">
        <v>286</v>
      </c>
      <c r="E356" s="87">
        <v>18</v>
      </c>
      <c r="F356" s="56" t="s">
        <v>287</v>
      </c>
      <c r="G356" s="56" t="s">
        <v>44</v>
      </c>
      <c r="H356" s="56" t="s">
        <v>1616</v>
      </c>
      <c r="I356" s="54" t="s">
        <v>288</v>
      </c>
      <c r="J356" s="54" t="s">
        <v>289</v>
      </c>
      <c r="K356" s="54" t="s">
        <v>108</v>
      </c>
      <c r="L356" s="54" t="s">
        <v>135</v>
      </c>
      <c r="M356" s="54" t="s">
        <v>136</v>
      </c>
      <c r="N356" s="54" t="s">
        <v>117</v>
      </c>
    </row>
    <row r="357" spans="1:16" hidden="1">
      <c r="A357" s="115">
        <v>356</v>
      </c>
      <c r="B357" s="56" t="s">
        <v>21</v>
      </c>
      <c r="C357" s="85" t="s">
        <v>1617</v>
      </c>
      <c r="D357" s="87" t="s">
        <v>1618</v>
      </c>
      <c r="E357" s="87">
        <v>14</v>
      </c>
      <c r="F357" s="56" t="s">
        <v>287</v>
      </c>
      <c r="G357" s="56" t="s">
        <v>44</v>
      </c>
      <c r="H357" s="56" t="s">
        <v>1616</v>
      </c>
      <c r="I357" s="56" t="s">
        <v>1615</v>
      </c>
      <c r="J357" t="s">
        <v>1619</v>
      </c>
      <c r="K357" s="54" t="s">
        <v>135</v>
      </c>
      <c r="L357" s="54" t="s">
        <v>136</v>
      </c>
      <c r="M357" s="54" t="s">
        <v>150</v>
      </c>
      <c r="N357" s="54" t="s">
        <v>117</v>
      </c>
    </row>
    <row r="358" spans="1:16">
      <c r="A358" s="115">
        <v>357</v>
      </c>
      <c r="B358" s="56" t="s">
        <v>21</v>
      </c>
      <c r="C358" s="92" t="s">
        <v>100</v>
      </c>
      <c r="D358" s="87" t="s">
        <v>101</v>
      </c>
      <c r="E358" s="87">
        <v>15</v>
      </c>
      <c r="F358" s="87" t="s">
        <v>102</v>
      </c>
      <c r="G358" s="87" t="s">
        <v>39</v>
      </c>
      <c r="H358" s="94" t="s">
        <v>1620</v>
      </c>
      <c r="I358" t="s">
        <v>1621</v>
      </c>
      <c r="J358" t="s">
        <v>938</v>
      </c>
      <c r="K358" t="s">
        <v>1313</v>
      </c>
      <c r="L358" t="s">
        <v>1313</v>
      </c>
      <c r="M358" s="54"/>
      <c r="N358" s="54" t="s">
        <v>16</v>
      </c>
      <c r="O358" s="54"/>
      <c r="P358" s="54"/>
    </row>
    <row r="359" spans="1:16">
      <c r="A359" s="108">
        <v>358</v>
      </c>
      <c r="B359" s="56" t="s">
        <v>21</v>
      </c>
      <c r="C359" s="93" t="s">
        <v>103</v>
      </c>
      <c r="D359" s="94" t="s">
        <v>104</v>
      </c>
      <c r="E359" s="94">
        <v>8</v>
      </c>
      <c r="F359" s="94" t="s">
        <v>105</v>
      </c>
      <c r="G359" s="94" t="s">
        <v>39</v>
      </c>
      <c r="H359" s="94" t="s">
        <v>1620</v>
      </c>
      <c r="I359" s="54" t="s">
        <v>106</v>
      </c>
      <c r="J359" s="54" t="s">
        <v>107</v>
      </c>
      <c r="K359" s="54" t="s">
        <v>108</v>
      </c>
      <c r="L359" s="54" t="s">
        <v>109</v>
      </c>
      <c r="M359" s="54" t="s">
        <v>110</v>
      </c>
      <c r="N359" s="54" t="s">
        <v>117</v>
      </c>
    </row>
    <row r="360" spans="1:16">
      <c r="A360" s="108">
        <v>359</v>
      </c>
      <c r="B360" s="56" t="s">
        <v>21</v>
      </c>
      <c r="C360" s="93" t="s">
        <v>112</v>
      </c>
      <c r="D360" s="94" t="s">
        <v>113</v>
      </c>
      <c r="E360" s="94">
        <v>10</v>
      </c>
      <c r="F360" s="94" t="s">
        <v>102</v>
      </c>
      <c r="G360" s="94" t="s">
        <v>39</v>
      </c>
      <c r="H360" s="94" t="s">
        <v>1620</v>
      </c>
      <c r="I360" s="54" t="s">
        <v>114</v>
      </c>
      <c r="J360" s="54" t="s">
        <v>115</v>
      </c>
      <c r="K360" s="54" t="s">
        <v>116</v>
      </c>
      <c r="L360" s="54" t="s">
        <v>109</v>
      </c>
      <c r="M360" s="54" t="s">
        <v>110</v>
      </c>
      <c r="N360" s="54" t="s">
        <v>117</v>
      </c>
    </row>
    <row r="361" spans="1:16">
      <c r="A361" s="115">
        <v>360</v>
      </c>
      <c r="B361" s="56" t="s">
        <v>21</v>
      </c>
      <c r="C361" s="93" t="s">
        <v>118</v>
      </c>
      <c r="D361" s="94" t="s">
        <v>119</v>
      </c>
      <c r="E361" s="94">
        <v>11</v>
      </c>
      <c r="F361" s="94" t="s">
        <v>102</v>
      </c>
      <c r="G361" s="94" t="s">
        <v>39</v>
      </c>
      <c r="H361" s="94" t="s">
        <v>1620</v>
      </c>
      <c r="I361" s="54" t="s">
        <v>120</v>
      </c>
      <c r="J361" s="54" t="s">
        <v>121</v>
      </c>
      <c r="K361" s="54" t="s">
        <v>108</v>
      </c>
      <c r="L361" s="54" t="s">
        <v>135</v>
      </c>
      <c r="M361" s="54" t="s">
        <v>136</v>
      </c>
      <c r="N361" s="54" t="s">
        <v>117</v>
      </c>
    </row>
    <row r="362" spans="1:16">
      <c r="A362" s="108">
        <v>361</v>
      </c>
      <c r="B362" s="56" t="s">
        <v>21</v>
      </c>
      <c r="C362" s="93" t="s">
        <v>123</v>
      </c>
      <c r="D362" s="94" t="s">
        <v>124</v>
      </c>
      <c r="E362" s="94">
        <v>14</v>
      </c>
      <c r="F362" s="94" t="s">
        <v>125</v>
      </c>
      <c r="G362" s="94" t="s">
        <v>39</v>
      </c>
      <c r="H362" s="94" t="s">
        <v>1620</v>
      </c>
      <c r="I362" t="s">
        <v>919</v>
      </c>
      <c r="J362" t="s">
        <v>204</v>
      </c>
      <c r="K362" s="54" t="s">
        <v>108</v>
      </c>
      <c r="L362" s="54" t="s">
        <v>130</v>
      </c>
      <c r="M362" s="54" t="s">
        <v>110</v>
      </c>
      <c r="N362" s="54" t="s">
        <v>117</v>
      </c>
    </row>
    <row r="363" spans="1:16">
      <c r="A363" s="115">
        <v>362</v>
      </c>
      <c r="B363" s="56" t="s">
        <v>21</v>
      </c>
      <c r="C363" s="93" t="s">
        <v>126</v>
      </c>
      <c r="D363" s="94" t="s">
        <v>127</v>
      </c>
      <c r="E363" s="94">
        <v>16</v>
      </c>
      <c r="F363" s="94" t="s">
        <v>102</v>
      </c>
      <c r="G363" s="94" t="s">
        <v>39</v>
      </c>
      <c r="H363" s="94" t="s">
        <v>1620</v>
      </c>
      <c r="I363" s="54" t="s">
        <v>128</v>
      </c>
      <c r="J363" s="54" t="s">
        <v>129</v>
      </c>
      <c r="K363" s="54" t="s">
        <v>108</v>
      </c>
      <c r="L363" s="54" t="s">
        <v>130</v>
      </c>
      <c r="M363" s="54" t="s">
        <v>110</v>
      </c>
      <c r="N363" s="54" t="s">
        <v>117</v>
      </c>
    </row>
    <row r="364" spans="1:16">
      <c r="A364" s="115">
        <v>363</v>
      </c>
      <c r="B364" s="56" t="s">
        <v>21</v>
      </c>
      <c r="C364" s="93" t="s">
        <v>131</v>
      </c>
      <c r="D364" s="94" t="s">
        <v>132</v>
      </c>
      <c r="E364" s="94">
        <v>12</v>
      </c>
      <c r="F364" s="94" t="s">
        <v>102</v>
      </c>
      <c r="G364" s="94" t="s">
        <v>39</v>
      </c>
      <c r="H364" s="94" t="s">
        <v>1620</v>
      </c>
      <c r="I364" s="54" t="s">
        <v>133</v>
      </c>
      <c r="J364" s="54" t="s">
        <v>134</v>
      </c>
      <c r="K364" s="54" t="s">
        <v>108</v>
      </c>
      <c r="L364" s="54" t="s">
        <v>130</v>
      </c>
      <c r="M364" s="54" t="s">
        <v>110</v>
      </c>
      <c r="N364" s="54" t="s">
        <v>117</v>
      </c>
    </row>
    <row r="365" spans="1:16">
      <c r="A365" s="108">
        <v>364</v>
      </c>
      <c r="B365" s="56" t="s">
        <v>21</v>
      </c>
      <c r="C365" s="93" t="s">
        <v>137</v>
      </c>
      <c r="D365" s="94" t="s">
        <v>138</v>
      </c>
      <c r="E365" s="94">
        <v>34</v>
      </c>
      <c r="F365" s="94" t="s">
        <v>102</v>
      </c>
      <c r="G365" s="94" t="s">
        <v>39</v>
      </c>
      <c r="H365" s="94" t="s">
        <v>1620</v>
      </c>
      <c r="I365" s="54" t="s">
        <v>139</v>
      </c>
      <c r="J365" s="54" t="s">
        <v>140</v>
      </c>
      <c r="K365" s="54" t="s">
        <v>108</v>
      </c>
      <c r="L365" s="54" t="s">
        <v>135</v>
      </c>
      <c r="M365" s="54" t="s">
        <v>136</v>
      </c>
      <c r="N365" s="54" t="s">
        <v>111</v>
      </c>
    </row>
    <row r="366" spans="1:16" hidden="1">
      <c r="A366" s="108">
        <v>365</v>
      </c>
      <c r="B366" s="56" t="s">
        <v>1297</v>
      </c>
      <c r="C366" s="85" t="s">
        <v>986</v>
      </c>
      <c r="D366" s="56" t="s">
        <v>987</v>
      </c>
      <c r="E366" s="56">
        <v>7</v>
      </c>
      <c r="F366" s="56" t="s">
        <v>102</v>
      </c>
      <c r="G366" s="56" t="s">
        <v>78</v>
      </c>
      <c r="H366" s="56" t="s">
        <v>1622</v>
      </c>
      <c r="I366" s="54" t="s">
        <v>988</v>
      </c>
      <c r="J366" s="54" t="s">
        <v>564</v>
      </c>
      <c r="K366" s="54" t="s">
        <v>108</v>
      </c>
      <c r="L366" s="54" t="s">
        <v>109</v>
      </c>
      <c r="M366" s="54" t="s">
        <v>110</v>
      </c>
      <c r="N366" s="54" t="s">
        <v>117</v>
      </c>
    </row>
    <row r="367" spans="1:16" hidden="1">
      <c r="A367" s="115">
        <v>366</v>
      </c>
      <c r="B367" s="56" t="s">
        <v>1297</v>
      </c>
      <c r="C367" s="85" t="s">
        <v>989</v>
      </c>
      <c r="D367" s="56" t="s">
        <v>990</v>
      </c>
      <c r="E367" s="56">
        <v>11</v>
      </c>
      <c r="F367" s="56" t="s">
        <v>102</v>
      </c>
      <c r="G367" s="56" t="s">
        <v>78</v>
      </c>
      <c r="H367" s="56" t="s">
        <v>1622</v>
      </c>
      <c r="I367" s="56" t="s">
        <v>1623</v>
      </c>
      <c r="J367" t="s">
        <v>185</v>
      </c>
      <c r="K367" s="54" t="s">
        <v>108</v>
      </c>
      <c r="L367" s="54" t="s">
        <v>130</v>
      </c>
      <c r="M367" s="54" t="s">
        <v>110</v>
      </c>
      <c r="N367" s="54" t="s">
        <v>111</v>
      </c>
    </row>
    <row r="368" spans="1:16" hidden="1">
      <c r="A368" s="115">
        <v>367</v>
      </c>
      <c r="B368" s="56" t="s">
        <v>1297</v>
      </c>
      <c r="C368" s="85" t="s">
        <v>1624</v>
      </c>
      <c r="D368" s="56" t="s">
        <v>1625</v>
      </c>
      <c r="E368" s="56">
        <v>13</v>
      </c>
      <c r="F368" s="56" t="s">
        <v>1626</v>
      </c>
      <c r="G368" s="56" t="s">
        <v>78</v>
      </c>
      <c r="H368" s="56" t="s">
        <v>1622</v>
      </c>
      <c r="I368" s="56" t="s">
        <v>1627</v>
      </c>
      <c r="J368" t="s">
        <v>1106</v>
      </c>
      <c r="K368" s="54" t="s">
        <v>108</v>
      </c>
      <c r="L368" s="54" t="s">
        <v>130</v>
      </c>
      <c r="M368" s="54" t="s">
        <v>110</v>
      </c>
      <c r="N368" s="54" t="s">
        <v>117</v>
      </c>
    </row>
    <row r="369" spans="1:14" hidden="1">
      <c r="A369" s="108">
        <v>368</v>
      </c>
      <c r="B369" s="56" t="s">
        <v>1297</v>
      </c>
      <c r="C369" s="85" t="s">
        <v>1628</v>
      </c>
      <c r="D369" s="56" t="s">
        <v>1629</v>
      </c>
      <c r="E369" s="56">
        <v>5</v>
      </c>
      <c r="F369" s="56" t="s">
        <v>143</v>
      </c>
      <c r="G369" s="56" t="s">
        <v>78</v>
      </c>
      <c r="H369" s="56" t="s">
        <v>1622</v>
      </c>
      <c r="I369" s="56" t="s">
        <v>1630</v>
      </c>
      <c r="J369" t="s">
        <v>564</v>
      </c>
      <c r="K369" s="54" t="s">
        <v>108</v>
      </c>
      <c r="L369" s="54" t="s">
        <v>109</v>
      </c>
      <c r="M369" s="54" t="s">
        <v>110</v>
      </c>
      <c r="N369" s="54" t="s">
        <v>117</v>
      </c>
    </row>
    <row r="370" spans="1:14" hidden="1">
      <c r="A370" s="108">
        <v>369</v>
      </c>
      <c r="B370" s="56" t="s">
        <v>1297</v>
      </c>
      <c r="C370" s="85" t="s">
        <v>991</v>
      </c>
      <c r="D370" s="56" t="s">
        <v>992</v>
      </c>
      <c r="E370" s="56">
        <v>9</v>
      </c>
      <c r="F370" s="56" t="s">
        <v>102</v>
      </c>
      <c r="G370" s="56" t="s">
        <v>78</v>
      </c>
      <c r="H370" s="56" t="s">
        <v>1622</v>
      </c>
      <c r="I370" s="54" t="s">
        <v>993</v>
      </c>
      <c r="J370" s="54" t="s">
        <v>554</v>
      </c>
      <c r="K370" s="54" t="s">
        <v>108</v>
      </c>
      <c r="L370" s="54" t="s">
        <v>109</v>
      </c>
      <c r="M370" s="54" t="s">
        <v>110</v>
      </c>
      <c r="N370" s="54" t="s">
        <v>111</v>
      </c>
    </row>
    <row r="371" spans="1:14" hidden="1">
      <c r="A371" s="115">
        <v>370</v>
      </c>
      <c r="B371" s="56" t="s">
        <v>1297</v>
      </c>
      <c r="C371" s="85" t="s">
        <v>1631</v>
      </c>
      <c r="D371" s="56" t="s">
        <v>1632</v>
      </c>
      <c r="E371" s="56">
        <v>6</v>
      </c>
      <c r="F371" s="56" t="s">
        <v>382</v>
      </c>
      <c r="G371" s="56" t="s">
        <v>78</v>
      </c>
      <c r="H371" s="56" t="s">
        <v>1622</v>
      </c>
      <c r="I371" s="56" t="s">
        <v>1633</v>
      </c>
      <c r="J371" t="s">
        <v>412</v>
      </c>
      <c r="K371" s="54" t="s">
        <v>108</v>
      </c>
      <c r="L371" s="54" t="s">
        <v>135</v>
      </c>
      <c r="M371" s="54" t="s">
        <v>136</v>
      </c>
      <c r="N371" s="54" t="s">
        <v>162</v>
      </c>
    </row>
    <row r="372" spans="1:14" hidden="1">
      <c r="A372" s="108">
        <v>371</v>
      </c>
      <c r="B372" s="56" t="s">
        <v>1297</v>
      </c>
      <c r="C372" s="85" t="s">
        <v>994</v>
      </c>
      <c r="D372" s="56" t="s">
        <v>995</v>
      </c>
      <c r="E372" s="56">
        <v>7</v>
      </c>
      <c r="F372" s="56" t="s">
        <v>143</v>
      </c>
      <c r="G372" s="56" t="s">
        <v>78</v>
      </c>
      <c r="H372" s="56" t="s">
        <v>1622</v>
      </c>
      <c r="I372" s="54" t="s">
        <v>996</v>
      </c>
      <c r="J372" s="54" t="s">
        <v>997</v>
      </c>
      <c r="K372" s="54" t="s">
        <v>108</v>
      </c>
      <c r="L372" t="s">
        <v>109</v>
      </c>
      <c r="M372" t="s">
        <v>110</v>
      </c>
      <c r="N372" s="54" t="s">
        <v>162</v>
      </c>
    </row>
    <row r="373" spans="1:14" hidden="1">
      <c r="A373" s="115">
        <v>372</v>
      </c>
      <c r="B373" s="56" t="s">
        <v>1297</v>
      </c>
      <c r="C373" s="85" t="s">
        <v>998</v>
      </c>
      <c r="D373" s="56" t="s">
        <v>999</v>
      </c>
      <c r="E373" s="56">
        <v>5</v>
      </c>
      <c r="F373" s="56" t="s">
        <v>301</v>
      </c>
      <c r="G373" s="56" t="s">
        <v>78</v>
      </c>
      <c r="H373" s="56" t="s">
        <v>1622</v>
      </c>
      <c r="I373" s="54" t="s">
        <v>1000</v>
      </c>
      <c r="J373" s="54" t="s">
        <v>1001</v>
      </c>
      <c r="K373" s="54" t="s">
        <v>108</v>
      </c>
      <c r="L373" s="54" t="s">
        <v>109</v>
      </c>
      <c r="M373" s="54" t="s">
        <v>110</v>
      </c>
      <c r="N373" s="54" t="s">
        <v>117</v>
      </c>
    </row>
    <row r="374" spans="1:14" hidden="1">
      <c r="A374" s="115">
        <v>373</v>
      </c>
      <c r="B374" s="56" t="s">
        <v>1297</v>
      </c>
      <c r="C374" s="85" t="s">
        <v>1634</v>
      </c>
      <c r="D374" s="56" t="s">
        <v>1635</v>
      </c>
      <c r="E374" s="56">
        <v>9</v>
      </c>
      <c r="F374" s="56" t="s">
        <v>382</v>
      </c>
      <c r="G374" s="56" t="s">
        <v>78</v>
      </c>
      <c r="H374" s="56" t="s">
        <v>1622</v>
      </c>
      <c r="I374" s="56" t="s">
        <v>988</v>
      </c>
      <c r="J374" t="s">
        <v>1636</v>
      </c>
      <c r="K374" s="54" t="s">
        <v>108</v>
      </c>
      <c r="L374" s="54" t="s">
        <v>135</v>
      </c>
      <c r="M374" s="54" t="s">
        <v>136</v>
      </c>
      <c r="N374" s="54" t="s">
        <v>162</v>
      </c>
    </row>
    <row r="375" spans="1:14" hidden="1">
      <c r="A375" s="108">
        <v>374</v>
      </c>
      <c r="B375" s="56" t="s">
        <v>1297</v>
      </c>
      <c r="C375" s="85" t="s">
        <v>1637</v>
      </c>
      <c r="D375" s="56" t="s">
        <v>1638</v>
      </c>
      <c r="E375" s="56">
        <v>8</v>
      </c>
      <c r="F375" s="56" t="s">
        <v>143</v>
      </c>
      <c r="G375" s="56" t="s">
        <v>78</v>
      </c>
      <c r="H375" s="56" t="s">
        <v>1622</v>
      </c>
      <c r="I375" s="56" t="s">
        <v>1639</v>
      </c>
      <c r="J375" t="s">
        <v>1640</v>
      </c>
      <c r="K375" s="54" t="s">
        <v>108</v>
      </c>
      <c r="L375" s="54" t="s">
        <v>135</v>
      </c>
      <c r="M375" s="54" t="s">
        <v>136</v>
      </c>
      <c r="N375" s="54" t="s">
        <v>162</v>
      </c>
    </row>
    <row r="376" spans="1:14" hidden="1">
      <c r="A376" s="108">
        <v>375</v>
      </c>
      <c r="B376" s="56" t="s">
        <v>1297</v>
      </c>
      <c r="C376" s="85" t="s">
        <v>1641</v>
      </c>
      <c r="D376" s="56" t="s">
        <v>1642</v>
      </c>
      <c r="E376" s="56">
        <v>13</v>
      </c>
      <c r="F376" s="56" t="s">
        <v>143</v>
      </c>
      <c r="G376" s="56" t="s">
        <v>78</v>
      </c>
      <c r="H376" s="56" t="s">
        <v>1622</v>
      </c>
      <c r="I376" s="56" t="s">
        <v>988</v>
      </c>
      <c r="J376" t="s">
        <v>1643</v>
      </c>
      <c r="K376" s="54" t="s">
        <v>108</v>
      </c>
      <c r="L376" s="54" t="s">
        <v>130</v>
      </c>
      <c r="M376" s="54" t="s">
        <v>110</v>
      </c>
      <c r="N376" s="54" t="s">
        <v>111</v>
      </c>
    </row>
    <row r="377" spans="1:14" hidden="1">
      <c r="A377" s="115">
        <v>376</v>
      </c>
      <c r="B377" s="56" t="s">
        <v>1297</v>
      </c>
      <c r="C377" s="85" t="s">
        <v>1644</v>
      </c>
      <c r="D377" s="56" t="s">
        <v>1645</v>
      </c>
      <c r="E377" s="56">
        <v>12</v>
      </c>
      <c r="F377" s="56" t="s">
        <v>143</v>
      </c>
      <c r="G377" s="56" t="s">
        <v>78</v>
      </c>
      <c r="H377" s="56" t="s">
        <v>1622</v>
      </c>
      <c r="I377" s="56" t="s">
        <v>993</v>
      </c>
      <c r="J377" t="s">
        <v>1643</v>
      </c>
      <c r="K377" s="54" t="s">
        <v>108</v>
      </c>
      <c r="L377" s="54" t="s">
        <v>130</v>
      </c>
      <c r="M377" s="54" t="s">
        <v>110</v>
      </c>
      <c r="N377" s="54" t="s">
        <v>111</v>
      </c>
    </row>
    <row r="378" spans="1:14" hidden="1">
      <c r="A378" s="115">
        <v>377</v>
      </c>
      <c r="B378" s="56" t="s">
        <v>1297</v>
      </c>
      <c r="C378" s="85" t="s">
        <v>157</v>
      </c>
      <c r="D378" s="56" t="s">
        <v>158</v>
      </c>
      <c r="E378" s="56">
        <v>16</v>
      </c>
      <c r="F378" s="56" t="s">
        <v>159</v>
      </c>
      <c r="G378" s="56" t="s">
        <v>41</v>
      </c>
      <c r="H378" s="56" t="s">
        <v>1622</v>
      </c>
      <c r="I378" s="54" t="s">
        <v>160</v>
      </c>
      <c r="J378" s="54" t="s">
        <v>161</v>
      </c>
      <c r="K378" s="54" t="s">
        <v>108</v>
      </c>
      <c r="L378" s="54" t="s">
        <v>135</v>
      </c>
      <c r="M378" s="54" t="s">
        <v>136</v>
      </c>
      <c r="N378" s="54" t="s">
        <v>162</v>
      </c>
    </row>
    <row r="379" spans="1:14" hidden="1">
      <c r="A379" s="108">
        <v>378</v>
      </c>
      <c r="B379" s="56" t="s">
        <v>1297</v>
      </c>
      <c r="C379" s="85" t="s">
        <v>163</v>
      </c>
      <c r="D379" s="56" t="s">
        <v>164</v>
      </c>
      <c r="E379" s="56">
        <v>26</v>
      </c>
      <c r="F379" s="56" t="s">
        <v>159</v>
      </c>
      <c r="G379" s="56" t="s">
        <v>41</v>
      </c>
      <c r="H379" s="56" t="s">
        <v>1622</v>
      </c>
      <c r="I379" s="56" t="s">
        <v>1646</v>
      </c>
      <c r="J379" t="s">
        <v>1252</v>
      </c>
      <c r="K379" s="55" t="s">
        <v>1321</v>
      </c>
      <c r="L379" s="55"/>
      <c r="M379" s="54"/>
      <c r="N379" s="54" t="s">
        <v>321</v>
      </c>
    </row>
    <row r="380" spans="1:14" hidden="1">
      <c r="A380" s="108">
        <v>379</v>
      </c>
      <c r="B380" s="56" t="s">
        <v>1297</v>
      </c>
      <c r="C380" s="85" t="s">
        <v>165</v>
      </c>
      <c r="D380" s="56" t="s">
        <v>166</v>
      </c>
      <c r="E380" s="56">
        <v>26</v>
      </c>
      <c r="F380" s="56" t="s">
        <v>159</v>
      </c>
      <c r="G380" s="56" t="s">
        <v>41</v>
      </c>
      <c r="H380" s="56" t="s">
        <v>1622</v>
      </c>
      <c r="I380" s="54" t="s">
        <v>167</v>
      </c>
      <c r="J380" s="54" t="s">
        <v>168</v>
      </c>
      <c r="K380" s="54" t="s">
        <v>116</v>
      </c>
      <c r="L380" s="54" t="s">
        <v>109</v>
      </c>
      <c r="M380" s="54" t="s">
        <v>110</v>
      </c>
      <c r="N380" s="54" t="s">
        <v>117</v>
      </c>
    </row>
    <row r="381" spans="1:14" hidden="1">
      <c r="A381" s="115">
        <v>380</v>
      </c>
      <c r="B381" s="56" t="s">
        <v>1297</v>
      </c>
      <c r="C381" s="85" t="s">
        <v>169</v>
      </c>
      <c r="D381" s="56" t="s">
        <v>170</v>
      </c>
      <c r="E381" s="56">
        <v>26</v>
      </c>
      <c r="F381" s="56" t="s">
        <v>159</v>
      </c>
      <c r="G381" s="56" t="s">
        <v>41</v>
      </c>
      <c r="H381" s="56" t="s">
        <v>1622</v>
      </c>
      <c r="I381" s="54" t="s">
        <v>171</v>
      </c>
      <c r="J381" s="54" t="s">
        <v>172</v>
      </c>
      <c r="K381" s="54" t="s">
        <v>108</v>
      </c>
      <c r="L381" s="54" t="s">
        <v>130</v>
      </c>
      <c r="M381" t="s">
        <v>110</v>
      </c>
      <c r="N381" s="54" t="s">
        <v>162</v>
      </c>
    </row>
    <row r="382" spans="1:14" hidden="1">
      <c r="A382" s="108">
        <v>381</v>
      </c>
      <c r="B382" s="56" t="s">
        <v>1297</v>
      </c>
      <c r="C382" s="85" t="s">
        <v>173</v>
      </c>
      <c r="D382" s="56" t="s">
        <v>174</v>
      </c>
      <c r="E382" s="56">
        <v>15</v>
      </c>
      <c r="F382" s="56" t="s">
        <v>102</v>
      </c>
      <c r="G382" s="56" t="s">
        <v>41</v>
      </c>
      <c r="H382" s="56" t="s">
        <v>1622</v>
      </c>
      <c r="I382" s="56" t="s">
        <v>1647</v>
      </c>
      <c r="J382" t="s">
        <v>447</v>
      </c>
      <c r="K382" s="55" t="s">
        <v>1321</v>
      </c>
      <c r="L382" s="55"/>
      <c r="M382" s="54"/>
      <c r="N382" s="54" t="s">
        <v>321</v>
      </c>
    </row>
    <row r="383" spans="1:14" hidden="1">
      <c r="A383" s="115">
        <v>382</v>
      </c>
      <c r="B383" s="56" t="s">
        <v>1297</v>
      </c>
      <c r="C383" s="85" t="s">
        <v>175</v>
      </c>
      <c r="D383" s="56" t="s">
        <v>176</v>
      </c>
      <c r="E383" s="56">
        <v>14</v>
      </c>
      <c r="F383" s="56" t="s">
        <v>177</v>
      </c>
      <c r="G383" s="56" t="s">
        <v>41</v>
      </c>
      <c r="H383" s="56" t="s">
        <v>1622</v>
      </c>
      <c r="I383" s="54" t="s">
        <v>178</v>
      </c>
      <c r="J383" s="54" t="s">
        <v>179</v>
      </c>
      <c r="K383" s="54" t="s">
        <v>108</v>
      </c>
      <c r="L383" s="54" t="s">
        <v>109</v>
      </c>
      <c r="M383" s="54" t="s">
        <v>110</v>
      </c>
      <c r="N383" s="54" t="s">
        <v>111</v>
      </c>
    </row>
    <row r="384" spans="1:14" hidden="1">
      <c r="A384" s="115">
        <v>383</v>
      </c>
      <c r="B384" s="56" t="s">
        <v>1297</v>
      </c>
      <c r="C384" s="85" t="s">
        <v>180</v>
      </c>
      <c r="D384" s="56" t="s">
        <v>181</v>
      </c>
      <c r="E384" s="56">
        <v>18</v>
      </c>
      <c r="F384" s="56" t="s">
        <v>159</v>
      </c>
      <c r="G384" s="56" t="s">
        <v>41</v>
      </c>
      <c r="H384" s="56" t="s">
        <v>1622</v>
      </c>
      <c r="I384" s="56" t="s">
        <v>1648</v>
      </c>
      <c r="J384" t="s">
        <v>554</v>
      </c>
      <c r="K384" s="54" t="s">
        <v>108</v>
      </c>
      <c r="L384" s="54" t="s">
        <v>130</v>
      </c>
      <c r="M384" t="s">
        <v>110</v>
      </c>
      <c r="N384" s="54" t="s">
        <v>162</v>
      </c>
    </row>
    <row r="385" spans="1:14" hidden="1">
      <c r="A385" s="108">
        <v>384</v>
      </c>
      <c r="B385" s="56" t="s">
        <v>1297</v>
      </c>
      <c r="C385" s="85" t="s">
        <v>182</v>
      </c>
      <c r="D385" s="56" t="s">
        <v>183</v>
      </c>
      <c r="E385" s="56">
        <v>30</v>
      </c>
      <c r="F385" s="56" t="s">
        <v>159</v>
      </c>
      <c r="G385" s="56" t="s">
        <v>41</v>
      </c>
      <c r="H385" s="56" t="s">
        <v>1622</v>
      </c>
      <c r="I385" s="54" t="s">
        <v>184</v>
      </c>
      <c r="J385" s="54" t="s">
        <v>185</v>
      </c>
      <c r="K385" s="55" t="s">
        <v>1321</v>
      </c>
      <c r="L385" s="55"/>
      <c r="M385" s="54"/>
      <c r="N385" s="54" t="s">
        <v>321</v>
      </c>
    </row>
    <row r="386" spans="1:14" hidden="1">
      <c r="A386" s="108">
        <v>385</v>
      </c>
      <c r="B386" s="56" t="s">
        <v>1297</v>
      </c>
      <c r="C386" s="85" t="s">
        <v>189</v>
      </c>
      <c r="D386" s="56" t="s">
        <v>190</v>
      </c>
      <c r="E386" s="56">
        <v>8</v>
      </c>
      <c r="F386" s="56" t="s">
        <v>191</v>
      </c>
      <c r="G386" s="56" t="s">
        <v>41</v>
      </c>
      <c r="H386" s="56" t="s">
        <v>1622</v>
      </c>
      <c r="I386" s="54" t="s">
        <v>160</v>
      </c>
      <c r="J386" s="54" t="s">
        <v>172</v>
      </c>
      <c r="K386" s="55" t="s">
        <v>1321</v>
      </c>
      <c r="L386" s="55"/>
      <c r="M386" s="54"/>
      <c r="N386" s="54" t="s">
        <v>321</v>
      </c>
    </row>
    <row r="387" spans="1:14">
      <c r="A387" s="115">
        <v>386</v>
      </c>
      <c r="B387" s="56" t="s">
        <v>29</v>
      </c>
      <c r="C387" s="85" t="s">
        <v>319</v>
      </c>
      <c r="D387" s="56" t="s">
        <v>320</v>
      </c>
      <c r="E387" s="56">
        <v>17</v>
      </c>
      <c r="F387" s="56" t="s">
        <v>159</v>
      </c>
      <c r="G387" s="56" t="s">
        <v>46</v>
      </c>
      <c r="H387" s="56" t="s">
        <v>1649</v>
      </c>
      <c r="I387" s="55"/>
      <c r="J387" s="55"/>
      <c r="K387" s="55" t="s">
        <v>1321</v>
      </c>
      <c r="L387" s="55"/>
      <c r="M387" s="54"/>
      <c r="N387" s="54" t="s">
        <v>321</v>
      </c>
    </row>
    <row r="388" spans="1:14">
      <c r="A388" s="115">
        <v>387</v>
      </c>
      <c r="B388" s="56" t="s">
        <v>29</v>
      </c>
      <c r="C388" s="85" t="s">
        <v>322</v>
      </c>
      <c r="D388" s="56" t="s">
        <v>323</v>
      </c>
      <c r="E388" s="56">
        <v>40</v>
      </c>
      <c r="F388" s="56" t="s">
        <v>159</v>
      </c>
      <c r="G388" s="56" t="s">
        <v>46</v>
      </c>
      <c r="H388" s="56" t="s">
        <v>1649</v>
      </c>
      <c r="I388" s="54" t="s">
        <v>222</v>
      </c>
      <c r="J388" s="54" t="s">
        <v>324</v>
      </c>
      <c r="K388" s="54" t="s">
        <v>198</v>
      </c>
      <c r="L388" s="54" t="s">
        <v>108</v>
      </c>
      <c r="M388" s="54" t="s">
        <v>135</v>
      </c>
      <c r="N388" s="54" t="s">
        <v>293</v>
      </c>
    </row>
    <row r="389" spans="1:14">
      <c r="A389" s="108">
        <v>388</v>
      </c>
      <c r="B389" s="56" t="s">
        <v>29</v>
      </c>
      <c r="C389" s="85" t="s">
        <v>325</v>
      </c>
      <c r="D389" s="56" t="s">
        <v>326</v>
      </c>
      <c r="E389" s="56">
        <v>32</v>
      </c>
      <c r="F389" s="56" t="s">
        <v>159</v>
      </c>
      <c r="G389" s="56" t="s">
        <v>46</v>
      </c>
      <c r="H389" s="56" t="s">
        <v>1649</v>
      </c>
      <c r="I389" s="55"/>
      <c r="J389" s="55"/>
      <c r="K389" s="55" t="s">
        <v>1313</v>
      </c>
      <c r="L389" s="55" t="s">
        <v>1313</v>
      </c>
      <c r="M389" s="54"/>
      <c r="N389" s="54" t="s">
        <v>304</v>
      </c>
    </row>
    <row r="390" spans="1:14">
      <c r="A390" s="108">
        <v>389</v>
      </c>
      <c r="B390" s="56" t="s">
        <v>29</v>
      </c>
      <c r="C390" s="85" t="s">
        <v>327</v>
      </c>
      <c r="D390" s="56" t="s">
        <v>328</v>
      </c>
      <c r="E390" s="56">
        <v>21</v>
      </c>
      <c r="F390" s="56" t="s">
        <v>159</v>
      </c>
      <c r="G390" s="56" t="s">
        <v>46</v>
      </c>
      <c r="H390" s="56" t="s">
        <v>1649</v>
      </c>
      <c r="I390" s="54" t="s">
        <v>211</v>
      </c>
      <c r="J390" s="54" t="s">
        <v>329</v>
      </c>
      <c r="K390" s="54" t="s">
        <v>108</v>
      </c>
      <c r="L390" s="54" t="s">
        <v>135</v>
      </c>
      <c r="M390" s="54" t="s">
        <v>136</v>
      </c>
      <c r="N390" s="54" t="s">
        <v>111</v>
      </c>
    </row>
    <row r="391" spans="1:14">
      <c r="A391" s="115">
        <v>390</v>
      </c>
      <c r="B391" s="56" t="s">
        <v>29</v>
      </c>
      <c r="C391" s="85" t="s">
        <v>330</v>
      </c>
      <c r="D391" s="56" t="s">
        <v>331</v>
      </c>
      <c r="E391" s="56">
        <v>17</v>
      </c>
      <c r="F391" s="56" t="s">
        <v>332</v>
      </c>
      <c r="G391" s="56" t="s">
        <v>46</v>
      </c>
      <c r="H391" s="56" t="s">
        <v>1649</v>
      </c>
      <c r="I391" s="54" t="s">
        <v>211</v>
      </c>
      <c r="J391" s="54" t="s">
        <v>333</v>
      </c>
      <c r="K391" s="54" t="s">
        <v>198</v>
      </c>
      <c r="L391" s="54" t="s">
        <v>135</v>
      </c>
      <c r="M391" s="54" t="s">
        <v>136</v>
      </c>
      <c r="N391" s="54" t="s">
        <v>298</v>
      </c>
    </row>
    <row r="392" spans="1:14">
      <c r="A392" s="108">
        <v>391</v>
      </c>
      <c r="B392" s="56" t="s">
        <v>29</v>
      </c>
      <c r="C392" s="85" t="s">
        <v>334</v>
      </c>
      <c r="D392" s="56" t="s">
        <v>335</v>
      </c>
      <c r="E392" s="56">
        <v>46</v>
      </c>
      <c r="F392" s="56" t="s">
        <v>159</v>
      </c>
      <c r="G392" s="56" t="s">
        <v>46</v>
      </c>
      <c r="H392" s="56" t="s">
        <v>1649</v>
      </c>
      <c r="I392" s="54" t="s">
        <v>336</v>
      </c>
      <c r="J392" s="54" t="s">
        <v>337</v>
      </c>
      <c r="K392" s="54" t="s">
        <v>198</v>
      </c>
      <c r="L392" s="54" t="s">
        <v>108</v>
      </c>
      <c r="M392" s="54" t="s">
        <v>135</v>
      </c>
      <c r="N392" s="54" t="s">
        <v>162</v>
      </c>
    </row>
    <row r="393" spans="1:14">
      <c r="A393" s="115">
        <v>392</v>
      </c>
      <c r="B393" s="56" t="s">
        <v>29</v>
      </c>
      <c r="C393" s="85" t="s">
        <v>338</v>
      </c>
      <c r="D393" s="56" t="s">
        <v>339</v>
      </c>
      <c r="E393" s="56">
        <v>29</v>
      </c>
      <c r="F393" s="56" t="s">
        <v>159</v>
      </c>
      <c r="G393" s="56" t="s">
        <v>46</v>
      </c>
      <c r="H393" s="56" t="s">
        <v>1649</v>
      </c>
      <c r="I393" s="54" t="s">
        <v>340</v>
      </c>
      <c r="J393" s="54" t="s">
        <v>341</v>
      </c>
      <c r="K393" t="s">
        <v>116</v>
      </c>
      <c r="L393" s="54" t="s">
        <v>199</v>
      </c>
      <c r="M393" t="s">
        <v>110</v>
      </c>
      <c r="N393" s="54" t="s">
        <v>162</v>
      </c>
    </row>
    <row r="394" spans="1:14">
      <c r="A394" s="115">
        <v>393</v>
      </c>
      <c r="B394" s="56" t="s">
        <v>29</v>
      </c>
      <c r="C394" s="85" t="s">
        <v>342</v>
      </c>
      <c r="D394" s="56" t="s">
        <v>343</v>
      </c>
      <c r="E394" s="56">
        <v>17</v>
      </c>
      <c r="F394" s="56" t="s">
        <v>332</v>
      </c>
      <c r="G394" s="56" t="s">
        <v>46</v>
      </c>
      <c r="H394" s="56" t="s">
        <v>1649</v>
      </c>
      <c r="I394" s="54" t="s">
        <v>344</v>
      </c>
      <c r="J394" s="54" t="s">
        <v>307</v>
      </c>
      <c r="K394" s="54" t="s">
        <v>108</v>
      </c>
      <c r="L394" s="54" t="s">
        <v>135</v>
      </c>
      <c r="M394" s="54" t="s">
        <v>136</v>
      </c>
      <c r="N394" s="54" t="s">
        <v>298</v>
      </c>
    </row>
    <row r="395" spans="1:14">
      <c r="A395" s="108">
        <v>394</v>
      </c>
      <c r="B395" s="56" t="s">
        <v>29</v>
      </c>
      <c r="C395" s="85" t="s">
        <v>345</v>
      </c>
      <c r="D395" s="56" t="s">
        <v>346</v>
      </c>
      <c r="E395" s="56">
        <v>29</v>
      </c>
      <c r="F395" s="56" t="s">
        <v>159</v>
      </c>
      <c r="G395" s="56" t="s">
        <v>46</v>
      </c>
      <c r="H395" s="56" t="s">
        <v>1649</v>
      </c>
      <c r="I395" s="54" t="s">
        <v>347</v>
      </c>
      <c r="J395" s="54" t="s">
        <v>307</v>
      </c>
      <c r="K395" s="54" t="s">
        <v>116</v>
      </c>
      <c r="L395" s="54" t="s">
        <v>199</v>
      </c>
      <c r="M395" s="54" t="s">
        <v>110</v>
      </c>
      <c r="N395" s="54" t="s">
        <v>298</v>
      </c>
    </row>
    <row r="396" spans="1:14">
      <c r="A396" s="108">
        <v>395</v>
      </c>
      <c r="B396" s="56" t="s">
        <v>29</v>
      </c>
      <c r="C396" s="85" t="s">
        <v>141</v>
      </c>
      <c r="D396" s="56" t="s">
        <v>142</v>
      </c>
      <c r="E396" s="56">
        <v>5</v>
      </c>
      <c r="F396" s="56" t="s">
        <v>143</v>
      </c>
      <c r="G396" s="56" t="s">
        <v>40</v>
      </c>
      <c r="I396" s="54" t="s">
        <v>144</v>
      </c>
      <c r="J396" s="54" t="s">
        <v>145</v>
      </c>
      <c r="K396" s="54" t="s">
        <v>108</v>
      </c>
      <c r="L396" s="54" t="s">
        <v>109</v>
      </c>
      <c r="M396" s="54" t="s">
        <v>110</v>
      </c>
      <c r="N396" s="54" t="s">
        <v>117</v>
      </c>
    </row>
    <row r="397" spans="1:14">
      <c r="A397" s="115">
        <v>396</v>
      </c>
      <c r="B397" s="56" t="s">
        <v>29</v>
      </c>
      <c r="C397" s="85" t="s">
        <v>146</v>
      </c>
      <c r="D397" s="56" t="s">
        <v>147</v>
      </c>
      <c r="E397" s="56">
        <v>13</v>
      </c>
      <c r="F397" s="56" t="s">
        <v>143</v>
      </c>
      <c r="G397" s="56" t="s">
        <v>40</v>
      </c>
      <c r="I397" s="54" t="s">
        <v>148</v>
      </c>
      <c r="J397" s="54" t="s">
        <v>149</v>
      </c>
      <c r="K397" s="54" t="s">
        <v>135</v>
      </c>
      <c r="L397" s="54" t="s">
        <v>136</v>
      </c>
      <c r="M397" s="54" t="s">
        <v>150</v>
      </c>
      <c r="N397" s="54" t="s">
        <v>111</v>
      </c>
    </row>
    <row r="398" spans="1:14">
      <c r="A398" s="115">
        <v>397</v>
      </c>
      <c r="B398" s="56" t="s">
        <v>29</v>
      </c>
      <c r="C398" s="85" t="s">
        <v>151</v>
      </c>
      <c r="D398" s="56" t="s">
        <v>152</v>
      </c>
      <c r="E398" s="56">
        <v>13</v>
      </c>
      <c r="F398" s="56" t="s">
        <v>143</v>
      </c>
      <c r="G398" s="56" t="s">
        <v>40</v>
      </c>
      <c r="I398" s="56" t="s">
        <v>704</v>
      </c>
      <c r="J398" t="s">
        <v>1619</v>
      </c>
      <c r="K398" s="54" t="s">
        <v>135</v>
      </c>
      <c r="L398" s="54" t="s">
        <v>136</v>
      </c>
      <c r="M398" s="54" t="s">
        <v>150</v>
      </c>
      <c r="N398" s="54" t="s">
        <v>111</v>
      </c>
    </row>
    <row r="399" spans="1:14">
      <c r="A399" s="108">
        <v>398</v>
      </c>
      <c r="B399" s="56" t="s">
        <v>29</v>
      </c>
      <c r="C399" s="85" t="s">
        <v>1650</v>
      </c>
      <c r="D399" s="56" t="s">
        <v>1651</v>
      </c>
      <c r="E399" s="56">
        <v>13</v>
      </c>
      <c r="F399" s="56" t="s">
        <v>143</v>
      </c>
      <c r="G399" s="56" t="s">
        <v>40</v>
      </c>
      <c r="I399" s="56" t="s">
        <v>1652</v>
      </c>
      <c r="J399" t="s">
        <v>1653</v>
      </c>
      <c r="K399" t="s">
        <v>116</v>
      </c>
      <c r="L399" t="s">
        <v>109</v>
      </c>
      <c r="M399" t="s">
        <v>110</v>
      </c>
      <c r="N399" s="54" t="s">
        <v>162</v>
      </c>
    </row>
    <row r="400" spans="1:14">
      <c r="A400" s="108">
        <v>399</v>
      </c>
      <c r="B400" s="56" t="s">
        <v>29</v>
      </c>
      <c r="C400" s="85" t="s">
        <v>153</v>
      </c>
      <c r="D400" s="56" t="s">
        <v>154</v>
      </c>
      <c r="E400" s="56">
        <v>8</v>
      </c>
      <c r="F400" s="56" t="s">
        <v>105</v>
      </c>
      <c r="G400" s="56" t="s">
        <v>40</v>
      </c>
      <c r="I400" s="54" t="s">
        <v>155</v>
      </c>
      <c r="J400" s="54" t="s">
        <v>156</v>
      </c>
      <c r="K400" t="s">
        <v>116</v>
      </c>
      <c r="L400" t="s">
        <v>109</v>
      </c>
      <c r="M400" t="s">
        <v>110</v>
      </c>
      <c r="N400" s="54" t="s">
        <v>162</v>
      </c>
    </row>
    <row r="401" spans="1:14">
      <c r="A401" s="115">
        <v>400</v>
      </c>
      <c r="B401" s="56" t="s">
        <v>29</v>
      </c>
      <c r="C401" s="85" t="s">
        <v>1654</v>
      </c>
      <c r="D401" s="54" t="s">
        <v>1655</v>
      </c>
      <c r="E401" s="56"/>
      <c r="F401" s="56"/>
      <c r="G401" s="56" t="s">
        <v>40</v>
      </c>
      <c r="H401" s="56"/>
      <c r="I401" s="54" t="s">
        <v>577</v>
      </c>
      <c r="J401" s="54" t="s">
        <v>1656</v>
      </c>
      <c r="K401" s="54" t="s">
        <v>198</v>
      </c>
      <c r="L401" s="54" t="s">
        <v>108</v>
      </c>
      <c r="M401" s="54" t="s">
        <v>135</v>
      </c>
      <c r="N401" s="54" t="s">
        <v>117</v>
      </c>
    </row>
    <row r="402" spans="1:14">
      <c r="A402" s="108">
        <v>401</v>
      </c>
      <c r="B402" s="56" t="s">
        <v>29</v>
      </c>
      <c r="C402" s="85" t="s">
        <v>1657</v>
      </c>
      <c r="D402" s="54" t="s">
        <v>1658</v>
      </c>
      <c r="E402" s="56"/>
      <c r="F402" s="56"/>
      <c r="G402" s="56" t="s">
        <v>40</v>
      </c>
      <c r="H402" s="56"/>
      <c r="I402" s="54" t="s">
        <v>367</v>
      </c>
      <c r="J402" s="54" t="s">
        <v>598</v>
      </c>
      <c r="K402" s="55" t="s">
        <v>1313</v>
      </c>
      <c r="L402" s="55" t="s">
        <v>1313</v>
      </c>
      <c r="M402" s="54"/>
      <c r="N402" s="54" t="s">
        <v>304</v>
      </c>
    </row>
    <row r="403" spans="1:14">
      <c r="A403" s="115">
        <v>402</v>
      </c>
      <c r="B403" s="56" t="s">
        <v>29</v>
      </c>
      <c r="C403" s="85" t="s">
        <v>1659</v>
      </c>
      <c r="D403" s="54" t="s">
        <v>1660</v>
      </c>
      <c r="E403" s="56"/>
      <c r="F403" s="56"/>
      <c r="G403" s="56" t="s">
        <v>40</v>
      </c>
      <c r="H403" s="56"/>
      <c r="I403" s="54" t="s">
        <v>211</v>
      </c>
      <c r="J403" s="54" t="s">
        <v>664</v>
      </c>
      <c r="K403" s="54" t="s">
        <v>198</v>
      </c>
      <c r="L403" s="54" t="s">
        <v>199</v>
      </c>
      <c r="M403" s="54" t="s">
        <v>200</v>
      </c>
      <c r="N403" s="54" t="s">
        <v>298</v>
      </c>
    </row>
    <row r="404" spans="1:14">
      <c r="A404" s="115">
        <v>403</v>
      </c>
      <c r="B404" s="56" t="s">
        <v>29</v>
      </c>
      <c r="C404" s="85" t="s">
        <v>1661</v>
      </c>
      <c r="D404" s="54" t="s">
        <v>1662</v>
      </c>
      <c r="E404" s="56"/>
      <c r="F404" s="56"/>
      <c r="G404" s="56" t="s">
        <v>40</v>
      </c>
      <c r="H404" s="56"/>
      <c r="I404" s="54" t="s">
        <v>354</v>
      </c>
      <c r="J404" s="54" t="s">
        <v>1663</v>
      </c>
      <c r="K404" s="55" t="s">
        <v>1313</v>
      </c>
      <c r="L404" s="55" t="s">
        <v>1313</v>
      </c>
      <c r="M404" s="55"/>
      <c r="N404" s="54" t="s">
        <v>304</v>
      </c>
    </row>
    <row r="405" spans="1:14">
      <c r="A405" s="108">
        <v>404</v>
      </c>
      <c r="B405" s="56" t="s">
        <v>29</v>
      </c>
      <c r="C405" s="85" t="s">
        <v>1664</v>
      </c>
      <c r="D405" s="54" t="s">
        <v>1665</v>
      </c>
      <c r="E405" s="56"/>
      <c r="F405" s="56"/>
      <c r="G405" s="56" t="s">
        <v>40</v>
      </c>
      <c r="H405" s="56"/>
      <c r="I405" s="54" t="s">
        <v>1666</v>
      </c>
      <c r="J405" s="54" t="s">
        <v>585</v>
      </c>
      <c r="K405" s="55" t="s">
        <v>1321</v>
      </c>
      <c r="L405" s="55"/>
      <c r="M405" s="55"/>
      <c r="N405" s="54" t="s">
        <v>321</v>
      </c>
    </row>
    <row r="406" spans="1:14">
      <c r="A406" s="108">
        <v>405</v>
      </c>
      <c r="B406" s="56" t="s">
        <v>29</v>
      </c>
      <c r="C406" s="85" t="s">
        <v>1667</v>
      </c>
      <c r="D406" s="54" t="s">
        <v>1668</v>
      </c>
      <c r="E406" s="56"/>
      <c r="F406" s="56"/>
      <c r="G406" s="56" t="s">
        <v>40</v>
      </c>
      <c r="H406" s="56"/>
      <c r="I406" s="54" t="s">
        <v>1669</v>
      </c>
      <c r="J406" s="54" t="s">
        <v>585</v>
      </c>
      <c r="K406" s="54" t="s">
        <v>198</v>
      </c>
      <c r="L406" s="54" t="s">
        <v>108</v>
      </c>
      <c r="M406" s="54" t="s">
        <v>135</v>
      </c>
      <c r="N406" s="54" t="s">
        <v>298</v>
      </c>
    </row>
    <row r="407" spans="1:14">
      <c r="A407" s="115">
        <v>406</v>
      </c>
      <c r="B407" s="56" t="s">
        <v>29</v>
      </c>
      <c r="C407" s="85" t="s">
        <v>1670</v>
      </c>
      <c r="D407" s="54" t="s">
        <v>1671</v>
      </c>
      <c r="E407" s="56"/>
      <c r="F407" s="56"/>
      <c r="G407" s="56" t="s">
        <v>40</v>
      </c>
      <c r="H407" s="56"/>
      <c r="I407" s="54" t="s">
        <v>1672</v>
      </c>
      <c r="J407" s="54" t="s">
        <v>598</v>
      </c>
      <c r="K407" s="54" t="s">
        <v>198</v>
      </c>
      <c r="L407" s="54" t="s">
        <v>108</v>
      </c>
      <c r="M407" s="54" t="s">
        <v>135</v>
      </c>
      <c r="N407" s="54" t="s">
        <v>162</v>
      </c>
    </row>
    <row r="408" spans="1:14">
      <c r="A408" s="115">
        <v>407</v>
      </c>
      <c r="B408" s="56" t="s">
        <v>29</v>
      </c>
      <c r="C408" s="85" t="s">
        <v>1673</v>
      </c>
      <c r="D408" s="54" t="s">
        <v>1674</v>
      </c>
      <c r="E408" s="56"/>
      <c r="F408" s="56"/>
      <c r="G408" s="56" t="s">
        <v>40</v>
      </c>
      <c r="H408" s="56"/>
      <c r="I408" s="54" t="s">
        <v>1675</v>
      </c>
      <c r="J408" s="54" t="s">
        <v>585</v>
      </c>
      <c r="K408" s="54" t="s">
        <v>198</v>
      </c>
      <c r="L408" s="54" t="s">
        <v>108</v>
      </c>
      <c r="M408" s="54" t="s">
        <v>135</v>
      </c>
      <c r="N408" s="54" t="s">
        <v>298</v>
      </c>
    </row>
    <row r="409" spans="1:14">
      <c r="A409" s="108">
        <v>408</v>
      </c>
      <c r="B409" s="56" t="s">
        <v>29</v>
      </c>
      <c r="C409" s="85" t="s">
        <v>1676</v>
      </c>
      <c r="D409" s="54" t="s">
        <v>1677</v>
      </c>
      <c r="E409" s="56"/>
      <c r="F409" s="56"/>
      <c r="G409" s="56" t="s">
        <v>40</v>
      </c>
      <c r="H409" s="56"/>
      <c r="I409" s="54" t="s">
        <v>1666</v>
      </c>
      <c r="J409" s="54" t="s">
        <v>1678</v>
      </c>
      <c r="K409" s="54" t="s">
        <v>198</v>
      </c>
      <c r="L409" s="54" t="s">
        <v>108</v>
      </c>
      <c r="M409" s="54" t="s">
        <v>135</v>
      </c>
      <c r="N409" s="54" t="s">
        <v>117</v>
      </c>
    </row>
    <row r="410" spans="1:14">
      <c r="A410" s="108">
        <v>409</v>
      </c>
      <c r="B410" s="56" t="s">
        <v>29</v>
      </c>
      <c r="C410" s="85" t="s">
        <v>1679</v>
      </c>
      <c r="D410" s="54" t="s">
        <v>1680</v>
      </c>
      <c r="E410" s="56"/>
      <c r="F410" s="56"/>
      <c r="G410" s="56" t="s">
        <v>40</v>
      </c>
      <c r="H410" s="56"/>
      <c r="I410" s="54" t="s">
        <v>1681</v>
      </c>
      <c r="J410" s="54" t="s">
        <v>585</v>
      </c>
      <c r="K410" s="54" t="s">
        <v>198</v>
      </c>
      <c r="L410" s="54" t="s">
        <v>108</v>
      </c>
      <c r="M410" s="54" t="s">
        <v>135</v>
      </c>
      <c r="N410" s="54" t="s">
        <v>162</v>
      </c>
    </row>
    <row r="411" spans="1:14" hidden="1">
      <c r="A411" s="115">
        <v>410</v>
      </c>
      <c r="B411" s="56" t="s">
        <v>1298</v>
      </c>
      <c r="C411" s="85" t="s">
        <v>348</v>
      </c>
      <c r="D411" s="56" t="s">
        <v>349</v>
      </c>
      <c r="E411" s="56">
        <v>25</v>
      </c>
      <c r="F411" s="56" t="s">
        <v>143</v>
      </c>
      <c r="G411" s="56" t="s">
        <v>47</v>
      </c>
      <c r="H411" s="56" t="s">
        <v>1682</v>
      </c>
      <c r="I411" s="54" t="s">
        <v>350</v>
      </c>
      <c r="J411" s="54" t="s">
        <v>351</v>
      </c>
      <c r="K411" s="54" t="s">
        <v>116</v>
      </c>
      <c r="L411" s="54" t="s">
        <v>199</v>
      </c>
      <c r="M411" s="54" t="s">
        <v>110</v>
      </c>
      <c r="N411" s="54" t="s">
        <v>111</v>
      </c>
    </row>
    <row r="412" spans="1:14" hidden="1">
      <c r="A412" s="108">
        <v>411</v>
      </c>
      <c r="B412" s="56" t="s">
        <v>1298</v>
      </c>
      <c r="C412" s="85" t="s">
        <v>352</v>
      </c>
      <c r="D412" s="56" t="s">
        <v>353</v>
      </c>
      <c r="E412" s="56">
        <v>7</v>
      </c>
      <c r="F412" s="56" t="s">
        <v>143</v>
      </c>
      <c r="G412" s="56" t="s">
        <v>47</v>
      </c>
      <c r="H412" s="56" t="s">
        <v>1682</v>
      </c>
      <c r="I412" s="54" t="s">
        <v>354</v>
      </c>
      <c r="J412" s="54" t="s">
        <v>355</v>
      </c>
      <c r="K412" s="54" t="s">
        <v>198</v>
      </c>
      <c r="L412" s="54" t="s">
        <v>108</v>
      </c>
      <c r="M412" s="54" t="s">
        <v>135</v>
      </c>
      <c r="N412" s="54" t="s">
        <v>162</v>
      </c>
    </row>
    <row r="413" spans="1:14" hidden="1">
      <c r="A413" s="115">
        <v>412</v>
      </c>
      <c r="B413" s="56" t="s">
        <v>1298</v>
      </c>
      <c r="C413" s="85" t="s">
        <v>356</v>
      </c>
      <c r="D413" s="56" t="s">
        <v>357</v>
      </c>
      <c r="E413" s="56">
        <v>24</v>
      </c>
      <c r="F413" s="56" t="s">
        <v>143</v>
      </c>
      <c r="G413" s="56" t="s">
        <v>47</v>
      </c>
      <c r="H413" s="56" t="s">
        <v>1682</v>
      </c>
      <c r="I413" s="54" t="s">
        <v>358</v>
      </c>
      <c r="J413" s="54" t="s">
        <v>359</v>
      </c>
      <c r="K413" s="54" t="s">
        <v>116</v>
      </c>
      <c r="L413" s="54" t="s">
        <v>199</v>
      </c>
      <c r="M413" s="54" t="s">
        <v>110</v>
      </c>
      <c r="N413" s="54" t="s">
        <v>111</v>
      </c>
    </row>
    <row r="414" spans="1:14" hidden="1">
      <c r="A414" s="115">
        <v>413</v>
      </c>
      <c r="B414" s="56" t="s">
        <v>1298</v>
      </c>
      <c r="C414" s="85" t="s">
        <v>360</v>
      </c>
      <c r="D414" s="56" t="s">
        <v>361</v>
      </c>
      <c r="E414" s="56">
        <v>24</v>
      </c>
      <c r="F414" s="56" t="s">
        <v>143</v>
      </c>
      <c r="G414" s="56" t="s">
        <v>47</v>
      </c>
      <c r="H414" s="56" t="s">
        <v>1682</v>
      </c>
      <c r="I414" s="54" t="s">
        <v>362</v>
      </c>
      <c r="J414" s="54" t="s">
        <v>363</v>
      </c>
      <c r="K414" s="54" t="s">
        <v>199</v>
      </c>
      <c r="L414" s="54" t="s">
        <v>200</v>
      </c>
      <c r="M414" s="54" t="s">
        <v>315</v>
      </c>
      <c r="N414" s="54" t="s">
        <v>111</v>
      </c>
    </row>
    <row r="415" spans="1:14" hidden="1">
      <c r="A415" s="108">
        <v>414</v>
      </c>
      <c r="B415" s="56" t="s">
        <v>1298</v>
      </c>
      <c r="C415" s="85" t="s">
        <v>364</v>
      </c>
      <c r="D415" s="56" t="s">
        <v>365</v>
      </c>
      <c r="E415" s="56">
        <v>8</v>
      </c>
      <c r="F415" s="56" t="s">
        <v>366</v>
      </c>
      <c r="G415" s="56" t="s">
        <v>47</v>
      </c>
      <c r="H415" s="56" t="s">
        <v>1682</v>
      </c>
      <c r="I415" s="54" t="s">
        <v>367</v>
      </c>
      <c r="J415" s="54" t="s">
        <v>368</v>
      </c>
      <c r="K415" s="54" t="s">
        <v>198</v>
      </c>
      <c r="L415" s="54" t="s">
        <v>108</v>
      </c>
      <c r="M415" s="54" t="s">
        <v>135</v>
      </c>
      <c r="N415" s="54" t="s">
        <v>162</v>
      </c>
    </row>
    <row r="416" spans="1:14" hidden="1">
      <c r="A416" s="108">
        <v>415</v>
      </c>
      <c r="B416" s="56" t="s">
        <v>1298</v>
      </c>
      <c r="C416" s="85" t="s">
        <v>369</v>
      </c>
      <c r="D416" s="56" t="s">
        <v>370</v>
      </c>
      <c r="E416" s="56">
        <v>20</v>
      </c>
      <c r="F416" s="56" t="s">
        <v>143</v>
      </c>
      <c r="G416" s="56" t="s">
        <v>47</v>
      </c>
      <c r="H416" s="56" t="s">
        <v>1682</v>
      </c>
      <c r="I416" s="54" t="s">
        <v>358</v>
      </c>
      <c r="J416" s="54" t="s">
        <v>371</v>
      </c>
      <c r="K416" s="54" t="s">
        <v>199</v>
      </c>
      <c r="L416" s="54" t="s">
        <v>200</v>
      </c>
      <c r="M416" s="54" t="s">
        <v>315</v>
      </c>
      <c r="N416" s="54" t="s">
        <v>111</v>
      </c>
    </row>
    <row r="417" spans="1:14" hidden="1">
      <c r="A417" s="115">
        <v>416</v>
      </c>
      <c r="B417" s="56" t="s">
        <v>1298</v>
      </c>
      <c r="C417" s="85" t="s">
        <v>372</v>
      </c>
      <c r="D417" s="56" t="s">
        <v>373</v>
      </c>
      <c r="E417" s="56">
        <v>24</v>
      </c>
      <c r="F417" s="56" t="s">
        <v>143</v>
      </c>
      <c r="G417" s="56" t="s">
        <v>47</v>
      </c>
      <c r="H417" s="56" t="s">
        <v>1682</v>
      </c>
      <c r="I417" s="54" t="s">
        <v>350</v>
      </c>
      <c r="J417" s="54" t="s">
        <v>374</v>
      </c>
      <c r="K417" s="54" t="s">
        <v>199</v>
      </c>
      <c r="L417" s="54" t="s">
        <v>200</v>
      </c>
      <c r="M417" s="54" t="s">
        <v>315</v>
      </c>
      <c r="N417" s="54" t="s">
        <v>111</v>
      </c>
    </row>
    <row r="418" spans="1:14" hidden="1">
      <c r="A418" s="115">
        <v>417</v>
      </c>
      <c r="B418" s="56" t="s">
        <v>1298</v>
      </c>
      <c r="C418" s="85" t="s">
        <v>375</v>
      </c>
      <c r="D418" s="56" t="s">
        <v>376</v>
      </c>
      <c r="E418" s="56">
        <v>14</v>
      </c>
      <c r="F418" s="56" t="s">
        <v>143</v>
      </c>
      <c r="G418" s="56" t="s">
        <v>47</v>
      </c>
      <c r="H418" s="56" t="s">
        <v>1682</v>
      </c>
      <c r="I418" s="54" t="s">
        <v>377</v>
      </c>
      <c r="J418" s="54" t="s">
        <v>374</v>
      </c>
      <c r="K418" s="54" t="s">
        <v>199</v>
      </c>
      <c r="L418" s="54" t="s">
        <v>200</v>
      </c>
      <c r="M418" s="54" t="s">
        <v>315</v>
      </c>
      <c r="N418" s="54" t="s">
        <v>111</v>
      </c>
    </row>
    <row r="419" spans="1:14" hidden="1">
      <c r="A419" s="108">
        <v>418</v>
      </c>
      <c r="B419" s="56" t="s">
        <v>1298</v>
      </c>
      <c r="C419" s="85" t="s">
        <v>378</v>
      </c>
      <c r="D419" s="56" t="s">
        <v>379</v>
      </c>
      <c r="E419" s="56">
        <v>18</v>
      </c>
      <c r="F419" s="56" t="s">
        <v>366</v>
      </c>
      <c r="G419" s="56" t="s">
        <v>47</v>
      </c>
      <c r="H419" s="56" t="s">
        <v>1682</v>
      </c>
      <c r="I419" s="54" t="s">
        <v>377</v>
      </c>
      <c r="J419" s="54" t="s">
        <v>371</v>
      </c>
      <c r="K419" s="54" t="s">
        <v>199</v>
      </c>
      <c r="L419" s="54" t="s">
        <v>200</v>
      </c>
      <c r="M419" s="54" t="s">
        <v>315</v>
      </c>
      <c r="N419" s="54" t="s">
        <v>111</v>
      </c>
    </row>
    <row r="420" spans="1:14" hidden="1">
      <c r="A420" s="108">
        <v>419</v>
      </c>
      <c r="B420" s="56" t="s">
        <v>1298</v>
      </c>
      <c r="C420" s="85" t="s">
        <v>1202</v>
      </c>
      <c r="D420" s="56" t="s">
        <v>1203</v>
      </c>
      <c r="E420" s="56">
        <v>18</v>
      </c>
      <c r="F420" s="56" t="s">
        <v>366</v>
      </c>
      <c r="G420" s="56" t="s">
        <v>86</v>
      </c>
      <c r="H420" s="56" t="s">
        <v>1683</v>
      </c>
      <c r="I420" s="54" t="s">
        <v>367</v>
      </c>
      <c r="J420" s="54" t="s">
        <v>664</v>
      </c>
      <c r="K420" s="54" t="s">
        <v>198</v>
      </c>
      <c r="L420" s="54" t="s">
        <v>199</v>
      </c>
      <c r="M420" s="54" t="s">
        <v>200</v>
      </c>
      <c r="N420" s="54" t="s">
        <v>162</v>
      </c>
    </row>
    <row r="421" spans="1:14" hidden="1">
      <c r="A421" s="115">
        <v>420</v>
      </c>
      <c r="B421" s="56" t="s">
        <v>1298</v>
      </c>
      <c r="C421" s="85" t="s">
        <v>1204</v>
      </c>
      <c r="D421" s="56" t="s">
        <v>1205</v>
      </c>
      <c r="E421" s="56">
        <v>11</v>
      </c>
      <c r="F421" s="56" t="s">
        <v>143</v>
      </c>
      <c r="G421" s="56" t="s">
        <v>86</v>
      </c>
      <c r="H421" s="56" t="s">
        <v>1684</v>
      </c>
      <c r="I421" s="54" t="s">
        <v>362</v>
      </c>
      <c r="J421" s="54" t="s">
        <v>598</v>
      </c>
      <c r="K421" s="54" t="s">
        <v>198</v>
      </c>
      <c r="L421" s="54" t="s">
        <v>108</v>
      </c>
      <c r="M421" s="54" t="s">
        <v>135</v>
      </c>
      <c r="N421" s="54" t="s">
        <v>117</v>
      </c>
    </row>
    <row r="422" spans="1:14" hidden="1">
      <c r="A422" s="108">
        <v>421</v>
      </c>
      <c r="B422" s="56" t="s">
        <v>1298</v>
      </c>
      <c r="C422" s="85" t="s">
        <v>1206</v>
      </c>
      <c r="D422" s="56" t="s">
        <v>1207</v>
      </c>
      <c r="E422" s="56">
        <v>11</v>
      </c>
      <c r="F422" s="56" t="s">
        <v>102</v>
      </c>
      <c r="G422" s="56" t="s">
        <v>86</v>
      </c>
      <c r="H422" s="56" t="s">
        <v>1684</v>
      </c>
      <c r="I422" s="56" t="s">
        <v>196</v>
      </c>
      <c r="J422" t="s">
        <v>578</v>
      </c>
      <c r="K422" s="54" t="s">
        <v>198</v>
      </c>
      <c r="L422" s="54" t="s">
        <v>108</v>
      </c>
      <c r="M422" s="54" t="s">
        <v>135</v>
      </c>
      <c r="N422" s="54" t="s">
        <v>162</v>
      </c>
    </row>
    <row r="423" spans="1:14" hidden="1">
      <c r="A423" s="115">
        <v>422</v>
      </c>
      <c r="B423" s="56" t="s">
        <v>1298</v>
      </c>
      <c r="C423" s="85" t="s">
        <v>1208</v>
      </c>
      <c r="D423" s="56" t="s">
        <v>1209</v>
      </c>
      <c r="E423" s="56">
        <v>24</v>
      </c>
      <c r="F423" s="56" t="s">
        <v>102</v>
      </c>
      <c r="G423" s="56" t="s">
        <v>86</v>
      </c>
      <c r="H423" s="56" t="s">
        <v>1685</v>
      </c>
      <c r="I423" s="54" t="s">
        <v>654</v>
      </c>
      <c r="J423" s="54" t="s">
        <v>359</v>
      </c>
      <c r="K423" t="s">
        <v>116</v>
      </c>
      <c r="L423" s="54" t="s">
        <v>199</v>
      </c>
      <c r="M423" t="s">
        <v>110</v>
      </c>
      <c r="N423" s="54" t="s">
        <v>162</v>
      </c>
    </row>
    <row r="424" spans="1:14" hidden="1">
      <c r="A424" s="115">
        <v>423</v>
      </c>
      <c r="B424" s="56" t="s">
        <v>1298</v>
      </c>
      <c r="C424" s="85" t="s">
        <v>1686</v>
      </c>
      <c r="D424" s="56" t="s">
        <v>1687</v>
      </c>
      <c r="E424" s="56">
        <v>11</v>
      </c>
      <c r="F424" s="56" t="s">
        <v>143</v>
      </c>
      <c r="G424" s="56" t="s">
        <v>86</v>
      </c>
      <c r="H424" s="56" t="s">
        <v>1684</v>
      </c>
      <c r="I424" s="56" t="s">
        <v>196</v>
      </c>
      <c r="J424" t="s">
        <v>333</v>
      </c>
      <c r="K424" s="54" t="s">
        <v>198</v>
      </c>
      <c r="L424" s="54" t="s">
        <v>108</v>
      </c>
      <c r="M424" s="54" t="s">
        <v>135</v>
      </c>
      <c r="N424" s="54" t="s">
        <v>162</v>
      </c>
    </row>
    <row r="425" spans="1:14" hidden="1">
      <c r="A425" s="108">
        <v>424</v>
      </c>
      <c r="B425" s="56" t="s">
        <v>1298</v>
      </c>
      <c r="C425" s="85" t="s">
        <v>1688</v>
      </c>
      <c r="D425" s="56" t="s">
        <v>1689</v>
      </c>
      <c r="E425" s="56">
        <v>13</v>
      </c>
      <c r="F425" s="56" t="s">
        <v>143</v>
      </c>
      <c r="G425" s="56" t="s">
        <v>86</v>
      </c>
      <c r="H425" s="56" t="s">
        <v>1684</v>
      </c>
      <c r="I425" s="56" t="s">
        <v>222</v>
      </c>
      <c r="J425" t="s">
        <v>1690</v>
      </c>
      <c r="K425" s="54" t="s">
        <v>198</v>
      </c>
      <c r="L425" s="54" t="s">
        <v>108</v>
      </c>
      <c r="M425" s="54" t="s">
        <v>135</v>
      </c>
      <c r="N425" s="54" t="s">
        <v>162</v>
      </c>
    </row>
    <row r="426" spans="1:14" hidden="1">
      <c r="A426" s="108">
        <v>425</v>
      </c>
      <c r="B426" s="56" t="s">
        <v>1298</v>
      </c>
      <c r="C426" s="85" t="s">
        <v>1691</v>
      </c>
      <c r="D426" s="56" t="s">
        <v>1692</v>
      </c>
      <c r="E426" s="56">
        <v>10</v>
      </c>
      <c r="F426" s="56" t="s">
        <v>143</v>
      </c>
      <c r="G426" s="56" t="s">
        <v>86</v>
      </c>
      <c r="H426" s="56" t="s">
        <v>1684</v>
      </c>
      <c r="I426" s="56" t="s">
        <v>682</v>
      </c>
      <c r="J426" t="s">
        <v>578</v>
      </c>
      <c r="K426" s="54" t="s">
        <v>198</v>
      </c>
      <c r="L426" s="54" t="s">
        <v>108</v>
      </c>
      <c r="M426" s="54" t="s">
        <v>135</v>
      </c>
      <c r="N426" s="54" t="s">
        <v>162</v>
      </c>
    </row>
    <row r="427" spans="1:14" hidden="1">
      <c r="A427" s="115">
        <v>426</v>
      </c>
      <c r="B427" s="56" t="s">
        <v>1298</v>
      </c>
      <c r="C427" s="85" t="s">
        <v>1210</v>
      </c>
      <c r="D427" s="56" t="s">
        <v>1211</v>
      </c>
      <c r="E427" s="56">
        <v>20</v>
      </c>
      <c r="F427" s="56" t="s">
        <v>143</v>
      </c>
      <c r="G427" s="56" t="s">
        <v>86</v>
      </c>
      <c r="H427" s="56" t="s">
        <v>1684</v>
      </c>
      <c r="I427" s="54" t="s">
        <v>654</v>
      </c>
      <c r="J427" s="54" t="s">
        <v>359</v>
      </c>
      <c r="K427" s="54" t="s">
        <v>199</v>
      </c>
      <c r="L427" s="54" t="s">
        <v>200</v>
      </c>
      <c r="M427" s="54" t="s">
        <v>315</v>
      </c>
      <c r="N427" s="54" t="s">
        <v>162</v>
      </c>
    </row>
    <row r="428" spans="1:14" hidden="1">
      <c r="A428" s="115">
        <v>427</v>
      </c>
      <c r="B428" s="56" t="s">
        <v>1298</v>
      </c>
      <c r="C428" s="85" t="s">
        <v>1212</v>
      </c>
      <c r="D428" s="56" t="s">
        <v>1213</v>
      </c>
      <c r="E428" s="56">
        <v>29</v>
      </c>
      <c r="F428" s="56" t="s">
        <v>143</v>
      </c>
      <c r="G428" s="56" t="s">
        <v>86</v>
      </c>
      <c r="H428" s="56" t="s">
        <v>1685</v>
      </c>
      <c r="I428" s="54" t="s">
        <v>358</v>
      </c>
      <c r="J428" s="54" t="s">
        <v>374</v>
      </c>
      <c r="K428" s="54" t="s">
        <v>199</v>
      </c>
      <c r="L428" s="54" t="s">
        <v>200</v>
      </c>
      <c r="M428" s="54" t="s">
        <v>315</v>
      </c>
      <c r="N428" s="54" t="s">
        <v>162</v>
      </c>
    </row>
    <row r="429" spans="1:14" hidden="1">
      <c r="A429" s="108">
        <v>428</v>
      </c>
      <c r="B429" s="56" t="s">
        <v>1298</v>
      </c>
      <c r="C429" s="85" t="s">
        <v>1214</v>
      </c>
      <c r="D429" s="56" t="s">
        <v>1215</v>
      </c>
      <c r="E429" s="56">
        <v>16</v>
      </c>
      <c r="F429" s="56" t="s">
        <v>366</v>
      </c>
      <c r="G429" s="56" t="s">
        <v>86</v>
      </c>
      <c r="H429" s="56" t="s">
        <v>1684</v>
      </c>
      <c r="I429" s="54" t="s">
        <v>358</v>
      </c>
      <c r="J429" s="54" t="s">
        <v>664</v>
      </c>
      <c r="K429" s="54" t="s">
        <v>199</v>
      </c>
      <c r="L429" s="54" t="s">
        <v>200</v>
      </c>
      <c r="M429" s="54" t="s">
        <v>315</v>
      </c>
      <c r="N429" s="54" t="s">
        <v>162</v>
      </c>
    </row>
    <row r="430" spans="1:14" hidden="1">
      <c r="A430" s="108">
        <v>429</v>
      </c>
      <c r="B430" s="56" t="s">
        <v>1298</v>
      </c>
      <c r="C430" s="85" t="s">
        <v>1693</v>
      </c>
      <c r="D430" s="56" t="s">
        <v>1694</v>
      </c>
      <c r="E430" s="56">
        <v>19</v>
      </c>
      <c r="F430" s="56" t="s">
        <v>143</v>
      </c>
      <c r="G430" s="56" t="s">
        <v>86</v>
      </c>
      <c r="H430" s="56" t="s">
        <v>1683</v>
      </c>
      <c r="I430" s="56" t="s">
        <v>1695</v>
      </c>
      <c r="J430" t="s">
        <v>307</v>
      </c>
      <c r="K430" s="54" t="s">
        <v>199</v>
      </c>
      <c r="L430" s="54" t="s">
        <v>200</v>
      </c>
      <c r="M430" s="54" t="s">
        <v>315</v>
      </c>
      <c r="N430" s="54" t="s">
        <v>117</v>
      </c>
    </row>
    <row r="431" spans="1:14" hidden="1">
      <c r="A431" s="115">
        <v>430</v>
      </c>
      <c r="B431" s="56" t="s">
        <v>1298</v>
      </c>
      <c r="C431" s="85" t="s">
        <v>1696</v>
      </c>
      <c r="D431" s="56" t="s">
        <v>1697</v>
      </c>
      <c r="E431" s="56">
        <v>11</v>
      </c>
      <c r="F431" s="56" t="s">
        <v>143</v>
      </c>
      <c r="G431" s="56" t="s">
        <v>86</v>
      </c>
      <c r="H431" s="56" t="s">
        <v>1684</v>
      </c>
      <c r="I431" s="56" t="s">
        <v>196</v>
      </c>
      <c r="J431" t="s">
        <v>223</v>
      </c>
      <c r="K431" s="54" t="s">
        <v>198</v>
      </c>
      <c r="L431" s="54" t="s">
        <v>108</v>
      </c>
      <c r="M431" s="54" t="s">
        <v>135</v>
      </c>
      <c r="N431" s="54" t="s">
        <v>117</v>
      </c>
    </row>
    <row r="432" spans="1:14" hidden="1">
      <c r="A432" s="108">
        <v>431</v>
      </c>
      <c r="B432" s="56" t="s">
        <v>1298</v>
      </c>
      <c r="C432" s="85" t="s">
        <v>1216</v>
      </c>
      <c r="D432" s="56" t="s">
        <v>1217</v>
      </c>
      <c r="E432" s="56">
        <v>15</v>
      </c>
      <c r="F432" s="56" t="s">
        <v>143</v>
      </c>
      <c r="G432" s="56" t="s">
        <v>86</v>
      </c>
      <c r="H432" s="56" t="s">
        <v>1684</v>
      </c>
      <c r="I432" s="54" t="s">
        <v>654</v>
      </c>
      <c r="J432" s="54" t="s">
        <v>371</v>
      </c>
      <c r="K432" s="54" t="s">
        <v>116</v>
      </c>
      <c r="L432" s="54" t="s">
        <v>199</v>
      </c>
      <c r="M432" s="54" t="s">
        <v>110</v>
      </c>
      <c r="N432" s="54" t="s">
        <v>111</v>
      </c>
    </row>
    <row r="433" spans="1:14" hidden="1">
      <c r="A433" s="115">
        <v>432</v>
      </c>
      <c r="B433" s="56" t="s">
        <v>1298</v>
      </c>
      <c r="C433" s="85" t="s">
        <v>1698</v>
      </c>
      <c r="D433" s="56" t="s">
        <v>1699</v>
      </c>
      <c r="E433" s="56">
        <v>13</v>
      </c>
      <c r="F433" s="56" t="s">
        <v>143</v>
      </c>
      <c r="G433" s="56" t="s">
        <v>86</v>
      </c>
      <c r="H433" s="56" t="s">
        <v>1684</v>
      </c>
      <c r="I433" s="56" t="s">
        <v>211</v>
      </c>
      <c r="J433" t="s">
        <v>578</v>
      </c>
      <c r="K433" s="54" t="s">
        <v>198</v>
      </c>
      <c r="L433" s="54" t="s">
        <v>108</v>
      </c>
      <c r="M433" s="54" t="s">
        <v>135</v>
      </c>
      <c r="N433" s="54" t="s">
        <v>111</v>
      </c>
    </row>
    <row r="434" spans="1:14" hidden="1">
      <c r="A434" s="115">
        <v>433</v>
      </c>
      <c r="B434" s="56" t="s">
        <v>1298</v>
      </c>
      <c r="C434" s="85" t="s">
        <v>1218</v>
      </c>
      <c r="D434" s="56" t="s">
        <v>1219</v>
      </c>
      <c r="E434" s="56">
        <v>10</v>
      </c>
      <c r="F434" s="56" t="s">
        <v>143</v>
      </c>
      <c r="G434" s="56" t="s">
        <v>86</v>
      </c>
      <c r="H434" s="56" t="s">
        <v>1684</v>
      </c>
      <c r="I434" s="54" t="s">
        <v>1220</v>
      </c>
      <c r="J434" s="54" t="s">
        <v>341</v>
      </c>
      <c r="K434" s="54" t="s">
        <v>198</v>
      </c>
      <c r="L434" s="54" t="s">
        <v>199</v>
      </c>
      <c r="M434" s="54" t="s">
        <v>200</v>
      </c>
      <c r="N434" s="54" t="s">
        <v>117</v>
      </c>
    </row>
    <row r="435" spans="1:14" hidden="1">
      <c r="A435" s="108">
        <v>434</v>
      </c>
      <c r="B435" s="56" t="s">
        <v>1298</v>
      </c>
      <c r="C435" s="85" t="s">
        <v>1221</v>
      </c>
      <c r="D435" s="56" t="s">
        <v>1222</v>
      </c>
      <c r="E435" s="56">
        <v>11</v>
      </c>
      <c r="F435" s="56" t="s">
        <v>366</v>
      </c>
      <c r="G435" s="56" t="s">
        <v>86</v>
      </c>
      <c r="H435" s="56" t="s">
        <v>1684</v>
      </c>
      <c r="I435" s="54" t="s">
        <v>196</v>
      </c>
      <c r="J435" s="54" t="s">
        <v>223</v>
      </c>
      <c r="K435" s="54" t="s">
        <v>198</v>
      </c>
      <c r="L435" s="54" t="s">
        <v>199</v>
      </c>
      <c r="M435" s="54" t="s">
        <v>200</v>
      </c>
      <c r="N435" s="54" t="s">
        <v>111</v>
      </c>
    </row>
    <row r="436" spans="1:14" hidden="1">
      <c r="A436" s="108">
        <v>435</v>
      </c>
      <c r="B436" s="56" t="s">
        <v>1298</v>
      </c>
      <c r="C436" s="85" t="s">
        <v>1700</v>
      </c>
      <c r="D436" s="56" t="s">
        <v>1701</v>
      </c>
      <c r="E436" s="56">
        <v>10</v>
      </c>
      <c r="F436" s="56" t="s">
        <v>143</v>
      </c>
      <c r="G436" s="56" t="s">
        <v>86</v>
      </c>
      <c r="H436" s="56" t="s">
        <v>1684</v>
      </c>
      <c r="I436" s="56" t="s">
        <v>196</v>
      </c>
      <c r="J436" t="s">
        <v>223</v>
      </c>
      <c r="K436" s="54" t="s">
        <v>198</v>
      </c>
      <c r="L436" s="54" t="s">
        <v>108</v>
      </c>
      <c r="M436" s="54" t="s">
        <v>135</v>
      </c>
      <c r="N436" s="54" t="s">
        <v>111</v>
      </c>
    </row>
    <row r="437" spans="1:14" hidden="1">
      <c r="A437" s="115">
        <v>436</v>
      </c>
      <c r="B437" s="56" t="s">
        <v>1298</v>
      </c>
      <c r="C437" s="85" t="s">
        <v>1223</v>
      </c>
      <c r="D437" s="56" t="s">
        <v>1224</v>
      </c>
      <c r="E437" s="56">
        <v>16</v>
      </c>
      <c r="F437" s="56" t="s">
        <v>143</v>
      </c>
      <c r="G437" s="56" t="s">
        <v>86</v>
      </c>
      <c r="H437" s="56" t="s">
        <v>1683</v>
      </c>
      <c r="I437" s="56" t="s">
        <v>861</v>
      </c>
      <c r="J437" t="s">
        <v>307</v>
      </c>
      <c r="K437" s="54" t="s">
        <v>199</v>
      </c>
      <c r="L437" s="54" t="s">
        <v>200</v>
      </c>
      <c r="M437" s="54" t="s">
        <v>315</v>
      </c>
      <c r="N437" s="54" t="s">
        <v>111</v>
      </c>
    </row>
    <row r="438" spans="1:14" hidden="1">
      <c r="A438" s="115">
        <v>437</v>
      </c>
      <c r="B438" s="56" t="s">
        <v>1298</v>
      </c>
      <c r="C438" s="85" t="s">
        <v>1702</v>
      </c>
      <c r="D438" s="56" t="s">
        <v>1703</v>
      </c>
      <c r="E438" s="56">
        <v>8</v>
      </c>
      <c r="F438" s="56" t="s">
        <v>143</v>
      </c>
      <c r="G438" s="56" t="s">
        <v>86</v>
      </c>
      <c r="H438" s="56" t="s">
        <v>1684</v>
      </c>
      <c r="I438" s="56" t="s">
        <v>196</v>
      </c>
      <c r="J438" t="s">
        <v>324</v>
      </c>
      <c r="K438" s="54" t="s">
        <v>198</v>
      </c>
      <c r="L438" s="54" t="s">
        <v>199</v>
      </c>
      <c r="M438" s="54" t="s">
        <v>200</v>
      </c>
      <c r="N438" s="54" t="s">
        <v>117</v>
      </c>
    </row>
    <row r="439" spans="1:14" hidden="1">
      <c r="A439" s="108">
        <v>438</v>
      </c>
      <c r="B439" s="56" t="s">
        <v>1298</v>
      </c>
      <c r="C439" s="85" t="s">
        <v>647</v>
      </c>
      <c r="D439" s="56" t="s">
        <v>648</v>
      </c>
      <c r="E439" s="56">
        <v>20</v>
      </c>
      <c r="F439" s="56" t="s">
        <v>143</v>
      </c>
      <c r="G439" s="56" t="s">
        <v>62</v>
      </c>
      <c r="H439" s="56" t="s">
        <v>1704</v>
      </c>
      <c r="I439" s="55"/>
      <c r="J439" s="55"/>
      <c r="K439" s="55" t="s">
        <v>1313</v>
      </c>
      <c r="L439" s="55" t="s">
        <v>1313</v>
      </c>
      <c r="M439" s="54"/>
      <c r="N439" s="54" t="s">
        <v>304</v>
      </c>
    </row>
    <row r="440" spans="1:14" hidden="1">
      <c r="A440" s="108">
        <v>439</v>
      </c>
      <c r="B440" s="56" t="s">
        <v>1298</v>
      </c>
      <c r="C440" s="85" t="s">
        <v>649</v>
      </c>
      <c r="D440" s="56" t="s">
        <v>650</v>
      </c>
      <c r="E440" s="56">
        <v>32</v>
      </c>
      <c r="F440" s="56" t="s">
        <v>366</v>
      </c>
      <c r="G440" s="56" t="s">
        <v>62</v>
      </c>
      <c r="H440" s="56" t="s">
        <v>1704</v>
      </c>
      <c r="I440" s="54" t="s">
        <v>377</v>
      </c>
      <c r="J440" s="54" t="s">
        <v>651</v>
      </c>
      <c r="K440" s="54" t="s">
        <v>199</v>
      </c>
      <c r="L440" s="54" t="s">
        <v>200</v>
      </c>
      <c r="M440" s="54" t="s">
        <v>315</v>
      </c>
      <c r="N440" s="54" t="s">
        <v>162</v>
      </c>
    </row>
    <row r="441" spans="1:14" hidden="1">
      <c r="A441" s="115">
        <v>440</v>
      </c>
      <c r="B441" s="56" t="s">
        <v>1298</v>
      </c>
      <c r="C441" s="85" t="s">
        <v>652</v>
      </c>
      <c r="D441" s="56" t="s">
        <v>653</v>
      </c>
      <c r="E441" s="56">
        <v>26</v>
      </c>
      <c r="F441" s="56" t="s">
        <v>102</v>
      </c>
      <c r="G441" s="56" t="s">
        <v>62</v>
      </c>
      <c r="H441" s="56" t="s">
        <v>1704</v>
      </c>
      <c r="I441" s="54" t="s">
        <v>654</v>
      </c>
      <c r="J441" s="54" t="s">
        <v>359</v>
      </c>
      <c r="K441" s="54" t="s">
        <v>198</v>
      </c>
      <c r="L441" s="54" t="s">
        <v>108</v>
      </c>
      <c r="M441" s="54" t="s">
        <v>135</v>
      </c>
      <c r="N441" s="54" t="s">
        <v>117</v>
      </c>
    </row>
    <row r="442" spans="1:14" hidden="1">
      <c r="A442" s="108">
        <v>441</v>
      </c>
      <c r="B442" s="56" t="s">
        <v>1298</v>
      </c>
      <c r="C442" s="85" t="s">
        <v>655</v>
      </c>
      <c r="D442" s="56" t="s">
        <v>656</v>
      </c>
      <c r="E442" s="56">
        <v>25</v>
      </c>
      <c r="F442" s="56" t="s">
        <v>143</v>
      </c>
      <c r="G442" s="56" t="s">
        <v>62</v>
      </c>
      <c r="H442" s="56" t="s">
        <v>1704</v>
      </c>
      <c r="I442" s="54" t="s">
        <v>362</v>
      </c>
      <c r="J442" s="54" t="s">
        <v>359</v>
      </c>
      <c r="K442" s="54" t="s">
        <v>199</v>
      </c>
      <c r="L442" s="54" t="s">
        <v>200</v>
      </c>
      <c r="M442" s="54" t="s">
        <v>315</v>
      </c>
      <c r="N442" s="54" t="s">
        <v>117</v>
      </c>
    </row>
    <row r="443" spans="1:14" hidden="1">
      <c r="A443" s="115">
        <v>442</v>
      </c>
      <c r="B443" s="56" t="s">
        <v>1298</v>
      </c>
      <c r="C443" s="85" t="s">
        <v>657</v>
      </c>
      <c r="D443" s="56" t="s">
        <v>658</v>
      </c>
      <c r="E443" s="56">
        <v>11</v>
      </c>
      <c r="F443" s="56" t="s">
        <v>102</v>
      </c>
      <c r="G443" s="56" t="s">
        <v>62</v>
      </c>
      <c r="H443" s="56" t="s">
        <v>1704</v>
      </c>
      <c r="I443" s="54" t="s">
        <v>659</v>
      </c>
      <c r="J443" s="54" t="s">
        <v>363</v>
      </c>
      <c r="K443" s="54" t="s">
        <v>198</v>
      </c>
      <c r="L443" s="54" t="s">
        <v>108</v>
      </c>
      <c r="M443" s="54" t="s">
        <v>135</v>
      </c>
      <c r="N443" s="54" t="s">
        <v>117</v>
      </c>
    </row>
    <row r="444" spans="1:14" hidden="1">
      <c r="A444" s="115">
        <v>443</v>
      </c>
      <c r="B444" s="56" t="s">
        <v>1298</v>
      </c>
      <c r="C444" s="85" t="s">
        <v>660</v>
      </c>
      <c r="D444" s="56" t="s">
        <v>661</v>
      </c>
      <c r="E444" s="56">
        <v>24</v>
      </c>
      <c r="F444" s="56" t="s">
        <v>143</v>
      </c>
      <c r="G444" s="56" t="s">
        <v>62</v>
      </c>
      <c r="H444" s="56" t="s">
        <v>1704</v>
      </c>
      <c r="I444" s="54" t="s">
        <v>659</v>
      </c>
      <c r="J444" s="54" t="s">
        <v>359</v>
      </c>
      <c r="K444" s="54" t="s">
        <v>199</v>
      </c>
      <c r="L444" s="54" t="s">
        <v>200</v>
      </c>
      <c r="M444" s="54" t="s">
        <v>315</v>
      </c>
      <c r="N444" s="54" t="s">
        <v>117</v>
      </c>
    </row>
    <row r="445" spans="1:14" hidden="1">
      <c r="A445" s="108">
        <v>444</v>
      </c>
      <c r="B445" s="56" t="s">
        <v>1298</v>
      </c>
      <c r="C445" s="85" t="s">
        <v>662</v>
      </c>
      <c r="D445" s="56" t="s">
        <v>663</v>
      </c>
      <c r="E445" s="56">
        <v>16</v>
      </c>
      <c r="F445" s="56" t="s">
        <v>143</v>
      </c>
      <c r="G445" s="56" t="s">
        <v>62</v>
      </c>
      <c r="H445" s="56" t="s">
        <v>1704</v>
      </c>
      <c r="I445" s="54" t="s">
        <v>654</v>
      </c>
      <c r="J445" s="54" t="s">
        <v>664</v>
      </c>
      <c r="K445" s="54" t="s">
        <v>199</v>
      </c>
      <c r="L445" s="54" t="s">
        <v>200</v>
      </c>
      <c r="M445" s="54" t="s">
        <v>315</v>
      </c>
      <c r="N445" s="54" t="s">
        <v>117</v>
      </c>
    </row>
    <row r="446" spans="1:14" hidden="1">
      <c r="A446" s="108">
        <v>445</v>
      </c>
      <c r="B446" s="56" t="s">
        <v>1298</v>
      </c>
      <c r="C446" s="85" t="s">
        <v>1705</v>
      </c>
      <c r="D446" s="56" t="s">
        <v>1706</v>
      </c>
      <c r="E446" s="56">
        <v>21</v>
      </c>
      <c r="F446" s="56" t="s">
        <v>102</v>
      </c>
      <c r="G446" s="56" t="s">
        <v>62</v>
      </c>
      <c r="H446" s="56" t="s">
        <v>1704</v>
      </c>
      <c r="I446" s="56"/>
      <c r="K446" s="55" t="s">
        <v>1313</v>
      </c>
      <c r="L446" s="55" t="s">
        <v>1313</v>
      </c>
      <c r="M446" s="54"/>
      <c r="N446" s="54" t="s">
        <v>304</v>
      </c>
    </row>
    <row r="447" spans="1:14" hidden="1">
      <c r="A447" s="115">
        <v>446</v>
      </c>
      <c r="B447" s="56" t="s">
        <v>1298</v>
      </c>
      <c r="C447" s="85" t="s">
        <v>665</v>
      </c>
      <c r="D447" s="56" t="s">
        <v>666</v>
      </c>
      <c r="E447" s="56">
        <v>11</v>
      </c>
      <c r="F447" s="56" t="s">
        <v>366</v>
      </c>
      <c r="G447" s="56" t="s">
        <v>62</v>
      </c>
      <c r="H447" s="56" t="s">
        <v>1704</v>
      </c>
      <c r="I447" s="54" t="s">
        <v>362</v>
      </c>
      <c r="J447" s="54" t="s">
        <v>359</v>
      </c>
      <c r="K447" s="54" t="s">
        <v>199</v>
      </c>
      <c r="L447" s="54" t="s">
        <v>200</v>
      </c>
      <c r="M447" s="54" t="s">
        <v>315</v>
      </c>
      <c r="N447" s="54" t="s">
        <v>117</v>
      </c>
    </row>
    <row r="448" spans="1:14" hidden="1">
      <c r="A448" s="115">
        <v>447</v>
      </c>
      <c r="B448" s="56" t="s">
        <v>1298</v>
      </c>
      <c r="C448" s="85" t="s">
        <v>1707</v>
      </c>
      <c r="D448" s="56" t="s">
        <v>1708</v>
      </c>
      <c r="E448" s="56">
        <v>23</v>
      </c>
      <c r="F448" s="56" t="s">
        <v>102</v>
      </c>
      <c r="G448" s="56" t="s">
        <v>62</v>
      </c>
      <c r="H448" s="56" t="s">
        <v>1704</v>
      </c>
      <c r="I448" s="56"/>
      <c r="K448" t="s">
        <v>1321</v>
      </c>
      <c r="N448" s="54" t="s">
        <v>122</v>
      </c>
    </row>
    <row r="449" spans="1:14" hidden="1">
      <c r="A449" s="108">
        <v>448</v>
      </c>
      <c r="B449" s="56" t="s">
        <v>1298</v>
      </c>
      <c r="C449" s="85" t="s">
        <v>667</v>
      </c>
      <c r="D449" s="56" t="s">
        <v>668</v>
      </c>
      <c r="E449" s="56">
        <v>11</v>
      </c>
      <c r="F449" s="56" t="s">
        <v>143</v>
      </c>
      <c r="G449" s="56" t="s">
        <v>62</v>
      </c>
      <c r="H449" s="56" t="s">
        <v>1704</v>
      </c>
      <c r="I449" s="54" t="s">
        <v>654</v>
      </c>
      <c r="J449" s="54" t="s">
        <v>664</v>
      </c>
      <c r="K449" s="54" t="s">
        <v>199</v>
      </c>
      <c r="L449" s="54" t="s">
        <v>200</v>
      </c>
      <c r="M449" s="54" t="s">
        <v>315</v>
      </c>
      <c r="N449" s="54" t="s">
        <v>117</v>
      </c>
    </row>
    <row r="450" spans="1:14" hidden="1">
      <c r="A450" s="108">
        <v>449</v>
      </c>
      <c r="B450" s="56" t="s">
        <v>1298</v>
      </c>
      <c r="C450" s="85" t="s">
        <v>1709</v>
      </c>
      <c r="D450" s="56" t="s">
        <v>1710</v>
      </c>
      <c r="E450" s="56">
        <v>14</v>
      </c>
      <c r="F450" s="56" t="s">
        <v>102</v>
      </c>
      <c r="G450" s="56" t="s">
        <v>62</v>
      </c>
      <c r="H450" s="56" t="s">
        <v>1704</v>
      </c>
      <c r="I450" s="56"/>
      <c r="K450" t="s">
        <v>1321</v>
      </c>
      <c r="N450" s="54" t="s">
        <v>122</v>
      </c>
    </row>
    <row r="451" spans="1:14" hidden="1">
      <c r="A451" s="115">
        <v>450</v>
      </c>
      <c r="B451" s="56" t="s">
        <v>1298</v>
      </c>
      <c r="C451" s="85" t="s">
        <v>669</v>
      </c>
      <c r="D451" s="56" t="s">
        <v>670</v>
      </c>
      <c r="E451" s="56">
        <v>27</v>
      </c>
      <c r="F451" s="56" t="s">
        <v>143</v>
      </c>
      <c r="G451" s="56" t="s">
        <v>62</v>
      </c>
      <c r="H451" s="56" t="s">
        <v>1704</v>
      </c>
      <c r="I451" s="54" t="s">
        <v>358</v>
      </c>
      <c r="J451" s="54" t="s">
        <v>374</v>
      </c>
      <c r="K451" s="54" t="s">
        <v>199</v>
      </c>
      <c r="L451" s="54" t="s">
        <v>200</v>
      </c>
      <c r="M451" s="54" t="s">
        <v>315</v>
      </c>
      <c r="N451" s="54" t="s">
        <v>162</v>
      </c>
    </row>
    <row r="452" spans="1:14" hidden="1">
      <c r="A452" s="108">
        <v>451</v>
      </c>
      <c r="B452" s="56" t="s">
        <v>1298</v>
      </c>
      <c r="C452" s="85" t="s">
        <v>1711</v>
      </c>
      <c r="D452" s="56" t="s">
        <v>1712</v>
      </c>
      <c r="E452" s="56">
        <v>11</v>
      </c>
      <c r="F452" s="56" t="s">
        <v>366</v>
      </c>
      <c r="G452" s="56" t="s">
        <v>81</v>
      </c>
      <c r="H452" s="56" t="s">
        <v>1713</v>
      </c>
      <c r="I452" s="56"/>
      <c r="K452" s="55" t="s">
        <v>1313</v>
      </c>
      <c r="L452" s="55" t="s">
        <v>1313</v>
      </c>
      <c r="M452" s="54"/>
      <c r="N452" s="54" t="s">
        <v>304</v>
      </c>
    </row>
    <row r="453" spans="1:14" hidden="1">
      <c r="A453" s="115">
        <v>452</v>
      </c>
      <c r="B453" s="56" t="s">
        <v>1298</v>
      </c>
      <c r="C453" s="85" t="s">
        <v>1049</v>
      </c>
      <c r="D453" s="56" t="s">
        <v>1050</v>
      </c>
      <c r="E453" s="56">
        <v>17</v>
      </c>
      <c r="F453" s="56" t="s">
        <v>102</v>
      </c>
      <c r="G453" s="56" t="s">
        <v>81</v>
      </c>
      <c r="H453" s="56" t="s">
        <v>1713</v>
      </c>
      <c r="I453" s="56" t="s">
        <v>1695</v>
      </c>
      <c r="J453" t="s">
        <v>204</v>
      </c>
      <c r="K453" s="54" t="s">
        <v>199</v>
      </c>
      <c r="L453" s="54" t="s">
        <v>200</v>
      </c>
      <c r="M453" s="54" t="s">
        <v>315</v>
      </c>
      <c r="N453" s="54" t="s">
        <v>162</v>
      </c>
    </row>
    <row r="454" spans="1:14" hidden="1">
      <c r="A454" s="115">
        <v>453</v>
      </c>
      <c r="B454" s="56" t="s">
        <v>1298</v>
      </c>
      <c r="C454" s="85" t="s">
        <v>1714</v>
      </c>
      <c r="D454" s="56" t="s">
        <v>1715</v>
      </c>
      <c r="E454" s="56">
        <v>12</v>
      </c>
      <c r="F454" s="56" t="s">
        <v>301</v>
      </c>
      <c r="G454" s="56" t="s">
        <v>81</v>
      </c>
      <c r="H454" s="56" t="s">
        <v>1713</v>
      </c>
      <c r="I454" s="56"/>
      <c r="K454" s="55" t="s">
        <v>1313</v>
      </c>
      <c r="L454" s="55" t="s">
        <v>1313</v>
      </c>
      <c r="M454" s="54"/>
      <c r="N454" s="54" t="s">
        <v>304</v>
      </c>
    </row>
    <row r="455" spans="1:14" hidden="1">
      <c r="A455" s="108">
        <v>454</v>
      </c>
      <c r="B455" s="56" t="s">
        <v>1298</v>
      </c>
      <c r="C455" s="85" t="s">
        <v>1716</v>
      </c>
      <c r="D455" s="56" t="s">
        <v>1717</v>
      </c>
      <c r="E455" s="56">
        <v>12</v>
      </c>
      <c r="F455" s="56" t="s">
        <v>102</v>
      </c>
      <c r="G455" s="56" t="s">
        <v>81</v>
      </c>
      <c r="H455" s="56" t="s">
        <v>1713</v>
      </c>
      <c r="I455" s="56" t="s">
        <v>128</v>
      </c>
      <c r="J455" t="s">
        <v>1690</v>
      </c>
      <c r="K455" s="54" t="s">
        <v>198</v>
      </c>
      <c r="L455" s="54" t="s">
        <v>108</v>
      </c>
      <c r="M455" s="54" t="s">
        <v>135</v>
      </c>
      <c r="N455" s="54" t="s">
        <v>117</v>
      </c>
    </row>
    <row r="456" spans="1:14" hidden="1">
      <c r="A456" s="108">
        <v>455</v>
      </c>
      <c r="B456" s="56" t="s">
        <v>1298</v>
      </c>
      <c r="C456" s="85" t="s">
        <v>1051</v>
      </c>
      <c r="D456" s="56" t="s">
        <v>1052</v>
      </c>
      <c r="E456" s="56">
        <v>13</v>
      </c>
      <c r="F456" s="56" t="s">
        <v>143</v>
      </c>
      <c r="G456" s="56" t="s">
        <v>81</v>
      </c>
      <c r="H456" s="56" t="s">
        <v>1713</v>
      </c>
      <c r="I456" s="54" t="s">
        <v>362</v>
      </c>
      <c r="J456" s="54" t="s">
        <v>359</v>
      </c>
      <c r="K456" s="54" t="s">
        <v>199</v>
      </c>
      <c r="L456" s="54" t="s">
        <v>200</v>
      </c>
      <c r="M456" s="54" t="s">
        <v>315</v>
      </c>
      <c r="N456" s="54" t="s">
        <v>117</v>
      </c>
    </row>
    <row r="457" spans="1:14" hidden="1">
      <c r="A457" s="115">
        <v>456</v>
      </c>
      <c r="B457" s="56" t="s">
        <v>1298</v>
      </c>
      <c r="C457" s="85" t="s">
        <v>1053</v>
      </c>
      <c r="D457" s="56" t="s">
        <v>1054</v>
      </c>
      <c r="E457" s="56">
        <v>23</v>
      </c>
      <c r="F457" s="56" t="s">
        <v>102</v>
      </c>
      <c r="G457" s="56" t="s">
        <v>81</v>
      </c>
      <c r="H457" s="56" t="s">
        <v>1713</v>
      </c>
      <c r="I457" s="54" t="s">
        <v>358</v>
      </c>
      <c r="J457" s="54" t="s">
        <v>664</v>
      </c>
      <c r="K457" s="54" t="s">
        <v>199</v>
      </c>
      <c r="L457" s="54" t="s">
        <v>200</v>
      </c>
      <c r="M457" s="54" t="s">
        <v>315</v>
      </c>
      <c r="N457" s="54" t="s">
        <v>162</v>
      </c>
    </row>
    <row r="458" spans="1:14" hidden="1">
      <c r="A458" s="115">
        <v>457</v>
      </c>
      <c r="B458" s="56" t="s">
        <v>1298</v>
      </c>
      <c r="C458" s="85" t="s">
        <v>1718</v>
      </c>
      <c r="D458" s="56" t="s">
        <v>1719</v>
      </c>
      <c r="E458" s="56">
        <v>9</v>
      </c>
      <c r="F458" s="56" t="s">
        <v>366</v>
      </c>
      <c r="G458" s="56" t="s">
        <v>81</v>
      </c>
      <c r="H458" s="56" t="s">
        <v>1713</v>
      </c>
      <c r="I458" s="56" t="s">
        <v>1695</v>
      </c>
      <c r="J458" t="s">
        <v>307</v>
      </c>
      <c r="K458" s="54" t="s">
        <v>199</v>
      </c>
      <c r="L458" s="54" t="s">
        <v>200</v>
      </c>
      <c r="M458" s="54" t="s">
        <v>315</v>
      </c>
      <c r="N458" s="54" t="s">
        <v>111</v>
      </c>
    </row>
    <row r="459" spans="1:14" hidden="1">
      <c r="A459" s="108">
        <v>458</v>
      </c>
      <c r="B459" s="56" t="s">
        <v>1298</v>
      </c>
      <c r="C459" s="85" t="s">
        <v>1055</v>
      </c>
      <c r="D459" s="56" t="s">
        <v>1056</v>
      </c>
      <c r="E459" s="56">
        <v>13</v>
      </c>
      <c r="F459" s="56" t="s">
        <v>143</v>
      </c>
      <c r="G459" s="56" t="s">
        <v>81</v>
      </c>
      <c r="H459" s="56" t="s">
        <v>1713</v>
      </c>
      <c r="I459" s="54" t="s">
        <v>1057</v>
      </c>
      <c r="J459" s="54" t="s">
        <v>307</v>
      </c>
      <c r="K459" s="54" t="s">
        <v>199</v>
      </c>
      <c r="L459" s="54" t="s">
        <v>200</v>
      </c>
      <c r="M459" s="54" t="s">
        <v>315</v>
      </c>
      <c r="N459" s="54" t="s">
        <v>111</v>
      </c>
    </row>
    <row r="460" spans="1:14" hidden="1">
      <c r="A460" s="108">
        <v>459</v>
      </c>
      <c r="B460" s="56" t="s">
        <v>1298</v>
      </c>
      <c r="C460" s="85" t="s">
        <v>1058</v>
      </c>
      <c r="D460" s="56" t="s">
        <v>1059</v>
      </c>
      <c r="E460" s="56">
        <v>28</v>
      </c>
      <c r="F460" s="56" t="s">
        <v>301</v>
      </c>
      <c r="G460" s="56" t="s">
        <v>81</v>
      </c>
      <c r="H460" s="56" t="s">
        <v>1713</v>
      </c>
      <c r="I460" s="56"/>
      <c r="K460" s="54" t="s">
        <v>186</v>
      </c>
      <c r="L460" t="s">
        <v>187</v>
      </c>
      <c r="M460" s="54"/>
      <c r="N460" s="54" t="s">
        <v>188</v>
      </c>
    </row>
    <row r="461" spans="1:14" hidden="1">
      <c r="A461" s="115">
        <v>460</v>
      </c>
      <c r="B461" s="56" t="s">
        <v>1298</v>
      </c>
      <c r="C461" s="85" t="s">
        <v>1720</v>
      </c>
      <c r="D461" s="56" t="s">
        <v>1721</v>
      </c>
      <c r="E461" s="56">
        <v>24</v>
      </c>
      <c r="F461" s="56" t="s">
        <v>301</v>
      </c>
      <c r="G461" s="56" t="s">
        <v>81</v>
      </c>
      <c r="H461" s="56" t="s">
        <v>1713</v>
      </c>
      <c r="I461" s="56" t="s">
        <v>1556</v>
      </c>
      <c r="J461" t="s">
        <v>1690</v>
      </c>
      <c r="K461" s="54" t="s">
        <v>198</v>
      </c>
      <c r="L461" s="54" t="s">
        <v>108</v>
      </c>
      <c r="M461" s="54" t="s">
        <v>135</v>
      </c>
      <c r="N461" s="54" t="s">
        <v>117</v>
      </c>
    </row>
    <row r="462" spans="1:14" hidden="1">
      <c r="A462" s="108">
        <v>461</v>
      </c>
      <c r="B462" s="56" t="s">
        <v>1298</v>
      </c>
      <c r="C462" s="85" t="s">
        <v>1060</v>
      </c>
      <c r="D462" s="56" t="s">
        <v>1061</v>
      </c>
      <c r="E462" s="56">
        <v>15</v>
      </c>
      <c r="F462" s="56" t="s">
        <v>143</v>
      </c>
      <c r="G462" s="56" t="s">
        <v>81</v>
      </c>
      <c r="H462" s="56" t="s">
        <v>1713</v>
      </c>
      <c r="I462" s="56" t="s">
        <v>1695</v>
      </c>
      <c r="J462" t="s">
        <v>307</v>
      </c>
      <c r="K462" s="54" t="s">
        <v>198</v>
      </c>
      <c r="L462" s="54" t="s">
        <v>199</v>
      </c>
      <c r="M462" s="54" t="s">
        <v>200</v>
      </c>
      <c r="N462" s="54" t="s">
        <v>111</v>
      </c>
    </row>
    <row r="463" spans="1:14" hidden="1">
      <c r="A463" s="115">
        <v>462</v>
      </c>
      <c r="B463" s="56" t="s">
        <v>27</v>
      </c>
      <c r="C463" s="85" t="s">
        <v>671</v>
      </c>
      <c r="D463" s="56" t="s">
        <v>672</v>
      </c>
      <c r="E463" s="56">
        <v>22</v>
      </c>
      <c r="F463" s="56" t="s">
        <v>143</v>
      </c>
      <c r="G463" s="56" t="s">
        <v>63</v>
      </c>
      <c r="H463" s="56" t="s">
        <v>1722</v>
      </c>
      <c r="I463" s="54" t="s">
        <v>673</v>
      </c>
      <c r="J463" s="54" t="s">
        <v>307</v>
      </c>
      <c r="K463" s="54" t="s">
        <v>198</v>
      </c>
      <c r="L463" s="54" t="s">
        <v>199</v>
      </c>
      <c r="M463" s="54" t="s">
        <v>200</v>
      </c>
      <c r="N463" s="54" t="s">
        <v>298</v>
      </c>
    </row>
    <row r="464" spans="1:14" hidden="1">
      <c r="A464" s="115">
        <v>463</v>
      </c>
      <c r="B464" s="56" t="s">
        <v>27</v>
      </c>
      <c r="C464" s="85" t="s">
        <v>674</v>
      </c>
      <c r="D464" s="56" t="s">
        <v>675</v>
      </c>
      <c r="E464" s="56">
        <v>15</v>
      </c>
      <c r="F464" s="56" t="s">
        <v>143</v>
      </c>
      <c r="G464" s="56" t="s">
        <v>63</v>
      </c>
      <c r="H464" s="56" t="s">
        <v>1722</v>
      </c>
      <c r="I464" s="54" t="s">
        <v>336</v>
      </c>
      <c r="J464" s="54" t="s">
        <v>329</v>
      </c>
      <c r="K464" s="54" t="s">
        <v>198</v>
      </c>
      <c r="L464" s="54" t="s">
        <v>108</v>
      </c>
      <c r="M464" s="54" t="s">
        <v>135</v>
      </c>
      <c r="N464" s="54" t="s">
        <v>111</v>
      </c>
    </row>
    <row r="465" spans="1:14" hidden="1">
      <c r="A465" s="108">
        <v>464</v>
      </c>
      <c r="B465" s="56" t="s">
        <v>27</v>
      </c>
      <c r="C465" s="85" t="s">
        <v>676</v>
      </c>
      <c r="D465" s="56" t="s">
        <v>677</v>
      </c>
      <c r="E465" s="56">
        <v>18</v>
      </c>
      <c r="F465" s="56" t="s">
        <v>678</v>
      </c>
      <c r="G465" s="56" t="s">
        <v>63</v>
      </c>
      <c r="H465" s="56" t="s">
        <v>1722</v>
      </c>
      <c r="I465" s="54" t="s">
        <v>211</v>
      </c>
      <c r="J465" s="54" t="s">
        <v>679</v>
      </c>
      <c r="K465" s="54" t="s">
        <v>198</v>
      </c>
      <c r="L465" s="54" t="s">
        <v>199</v>
      </c>
      <c r="M465" s="54" t="s">
        <v>200</v>
      </c>
      <c r="N465" s="54" t="s">
        <v>117</v>
      </c>
    </row>
    <row r="466" spans="1:14" hidden="1">
      <c r="A466" s="108">
        <v>465</v>
      </c>
      <c r="B466" s="56" t="s">
        <v>27</v>
      </c>
      <c r="C466" s="85" t="s">
        <v>1723</v>
      </c>
      <c r="D466" s="56" t="s">
        <v>1724</v>
      </c>
      <c r="E466" s="56">
        <v>19</v>
      </c>
      <c r="F466" s="56" t="s">
        <v>678</v>
      </c>
      <c r="G466" s="56" t="s">
        <v>63</v>
      </c>
      <c r="H466" s="56" t="s">
        <v>1722</v>
      </c>
      <c r="I466" s="56" t="s">
        <v>211</v>
      </c>
      <c r="J466" t="s">
        <v>223</v>
      </c>
      <c r="K466" s="54" t="s">
        <v>198</v>
      </c>
      <c r="L466" s="54" t="s">
        <v>108</v>
      </c>
      <c r="M466" s="54" t="s">
        <v>135</v>
      </c>
      <c r="N466" s="54" t="s">
        <v>162</v>
      </c>
    </row>
    <row r="467" spans="1:14" hidden="1">
      <c r="A467" s="115">
        <v>466</v>
      </c>
      <c r="B467" s="56" t="s">
        <v>27</v>
      </c>
      <c r="C467" s="85" t="s">
        <v>1725</v>
      </c>
      <c r="D467" s="56" t="s">
        <v>1726</v>
      </c>
      <c r="E467" s="56">
        <v>20</v>
      </c>
      <c r="F467" s="56" t="s">
        <v>143</v>
      </c>
      <c r="G467" s="56" t="s">
        <v>63</v>
      </c>
      <c r="H467" s="56" t="s">
        <v>1722</v>
      </c>
      <c r="I467" s="56" t="s">
        <v>211</v>
      </c>
      <c r="J467" t="s">
        <v>679</v>
      </c>
      <c r="K467" s="54" t="s">
        <v>198</v>
      </c>
      <c r="L467" s="54" t="s">
        <v>199</v>
      </c>
      <c r="M467" s="54" t="s">
        <v>200</v>
      </c>
      <c r="N467" s="54" t="s">
        <v>162</v>
      </c>
    </row>
    <row r="468" spans="1:14" hidden="1">
      <c r="A468" s="115">
        <v>467</v>
      </c>
      <c r="B468" s="56" t="s">
        <v>27</v>
      </c>
      <c r="C468" s="85" t="s">
        <v>680</v>
      </c>
      <c r="D468" s="56" t="s">
        <v>681</v>
      </c>
      <c r="E468" s="56">
        <v>7</v>
      </c>
      <c r="F468" s="56" t="s">
        <v>143</v>
      </c>
      <c r="G468" s="56" t="s">
        <v>63</v>
      </c>
      <c r="H468" s="56" t="s">
        <v>1722</v>
      </c>
      <c r="I468" s="54" t="s">
        <v>682</v>
      </c>
      <c r="J468" s="54" t="s">
        <v>329</v>
      </c>
      <c r="K468" s="54" t="s">
        <v>108</v>
      </c>
      <c r="L468" s="54" t="s">
        <v>109</v>
      </c>
      <c r="M468" s="54" t="s">
        <v>110</v>
      </c>
      <c r="N468" s="54" t="s">
        <v>298</v>
      </c>
    </row>
    <row r="469" spans="1:14" hidden="1">
      <c r="A469" s="108">
        <v>468</v>
      </c>
      <c r="B469" s="56" t="s">
        <v>27</v>
      </c>
      <c r="C469" s="85" t="s">
        <v>1727</v>
      </c>
      <c r="D469" s="56" t="s">
        <v>1728</v>
      </c>
      <c r="E469" s="56">
        <v>13</v>
      </c>
      <c r="F469" s="56" t="s">
        <v>143</v>
      </c>
      <c r="G469" s="56" t="s">
        <v>63</v>
      </c>
      <c r="H469" s="56" t="s">
        <v>1722</v>
      </c>
      <c r="I469" s="56" t="s">
        <v>211</v>
      </c>
      <c r="J469" t="s">
        <v>292</v>
      </c>
      <c r="K469" s="54" t="s">
        <v>198</v>
      </c>
      <c r="L469" s="54" t="s">
        <v>199</v>
      </c>
      <c r="M469" s="54" t="s">
        <v>200</v>
      </c>
      <c r="N469" s="54" t="s">
        <v>162</v>
      </c>
    </row>
    <row r="470" spans="1:14" hidden="1">
      <c r="A470" s="108">
        <v>469</v>
      </c>
      <c r="B470" s="56" t="s">
        <v>27</v>
      </c>
      <c r="C470" s="85" t="s">
        <v>683</v>
      </c>
      <c r="D470" s="56" t="s">
        <v>684</v>
      </c>
      <c r="E470" s="56">
        <v>19</v>
      </c>
      <c r="F470" s="56" t="s">
        <v>143</v>
      </c>
      <c r="G470" s="56" t="s">
        <v>63</v>
      </c>
      <c r="H470" s="56" t="s">
        <v>1722</v>
      </c>
      <c r="I470" s="54" t="s">
        <v>211</v>
      </c>
      <c r="J470" s="54" t="s">
        <v>359</v>
      </c>
      <c r="K470" s="54" t="s">
        <v>198</v>
      </c>
      <c r="L470" s="54" t="s">
        <v>199</v>
      </c>
      <c r="M470" s="54" t="s">
        <v>200</v>
      </c>
      <c r="N470" s="54" t="s">
        <v>298</v>
      </c>
    </row>
    <row r="471" spans="1:14" hidden="1">
      <c r="A471" s="115">
        <v>470</v>
      </c>
      <c r="B471" s="56" t="s">
        <v>1299</v>
      </c>
      <c r="C471" s="85" t="s">
        <v>290</v>
      </c>
      <c r="D471" s="56" t="s">
        <v>291</v>
      </c>
      <c r="E471" s="56">
        <v>15</v>
      </c>
      <c r="F471" s="56" t="s">
        <v>102</v>
      </c>
      <c r="G471" s="56" t="s">
        <v>45</v>
      </c>
      <c r="H471" s="56"/>
      <c r="I471" s="56" t="s">
        <v>211</v>
      </c>
      <c r="J471" t="s">
        <v>292</v>
      </c>
      <c r="K471" s="54" t="s">
        <v>198</v>
      </c>
      <c r="L471" s="54" t="s">
        <v>135</v>
      </c>
      <c r="M471" s="54" t="s">
        <v>136</v>
      </c>
      <c r="N471" s="54" t="s">
        <v>293</v>
      </c>
    </row>
    <row r="472" spans="1:14" hidden="1">
      <c r="A472" s="108">
        <v>471</v>
      </c>
      <c r="B472" s="56" t="s">
        <v>1299</v>
      </c>
      <c r="C472" s="85" t="s">
        <v>294</v>
      </c>
      <c r="D472" s="56" t="s">
        <v>295</v>
      </c>
      <c r="E472" s="56">
        <v>35</v>
      </c>
      <c r="F472" s="56" t="s">
        <v>143</v>
      </c>
      <c r="G472" s="56" t="s">
        <v>45</v>
      </c>
      <c r="H472" s="56"/>
      <c r="I472" s="56" t="s">
        <v>296</v>
      </c>
      <c r="J472" t="s">
        <v>297</v>
      </c>
      <c r="K472" s="54" t="s">
        <v>135</v>
      </c>
      <c r="L472" s="54" t="s">
        <v>136</v>
      </c>
      <c r="M472" s="54" t="s">
        <v>150</v>
      </c>
      <c r="N472" s="54" t="s">
        <v>298</v>
      </c>
    </row>
    <row r="473" spans="1:14" hidden="1">
      <c r="A473" s="115">
        <v>472</v>
      </c>
      <c r="B473" s="56" t="s">
        <v>1299</v>
      </c>
      <c r="C473" s="85" t="s">
        <v>299</v>
      </c>
      <c r="D473" s="56" t="s">
        <v>300</v>
      </c>
      <c r="E473" s="56">
        <v>24</v>
      </c>
      <c r="F473" s="56" t="s">
        <v>301</v>
      </c>
      <c r="G473" s="56" t="s">
        <v>45</v>
      </c>
      <c r="H473" s="56"/>
      <c r="I473" s="56" t="s">
        <v>302</v>
      </c>
      <c r="J473" t="s">
        <v>303</v>
      </c>
      <c r="K473" s="54" t="s">
        <v>199</v>
      </c>
      <c r="L473" s="54" t="s">
        <v>200</v>
      </c>
      <c r="M473" s="54" t="s">
        <v>315</v>
      </c>
      <c r="N473" s="54" t="s">
        <v>293</v>
      </c>
    </row>
    <row r="474" spans="1:14" hidden="1">
      <c r="A474" s="115">
        <v>473</v>
      </c>
      <c r="B474" s="56" t="s">
        <v>1299</v>
      </c>
      <c r="C474" s="85" t="s">
        <v>305</v>
      </c>
      <c r="D474" s="56" t="s">
        <v>306</v>
      </c>
      <c r="E474" s="56">
        <v>20</v>
      </c>
      <c r="F474" s="56" t="s">
        <v>143</v>
      </c>
      <c r="G474" s="56" t="s">
        <v>45</v>
      </c>
      <c r="H474" s="56" t="s">
        <v>1729</v>
      </c>
      <c r="I474" s="56" t="s">
        <v>211</v>
      </c>
      <c r="J474" t="s">
        <v>307</v>
      </c>
      <c r="K474" s="54" t="s">
        <v>198</v>
      </c>
      <c r="L474" s="54" t="s">
        <v>135</v>
      </c>
      <c r="M474" s="54" t="s">
        <v>136</v>
      </c>
      <c r="N474" s="54" t="s">
        <v>293</v>
      </c>
    </row>
    <row r="475" spans="1:14" hidden="1">
      <c r="A475" s="108">
        <v>474</v>
      </c>
      <c r="B475" s="56" t="s">
        <v>1299</v>
      </c>
      <c r="C475" s="85" t="s">
        <v>308</v>
      </c>
      <c r="D475" s="56" t="s">
        <v>309</v>
      </c>
      <c r="E475" s="56">
        <v>28</v>
      </c>
      <c r="F475" s="56" t="s">
        <v>143</v>
      </c>
      <c r="G475" s="56" t="s">
        <v>45</v>
      </c>
      <c r="H475" s="56"/>
      <c r="I475" s="56" t="s">
        <v>310</v>
      </c>
      <c r="J475" t="s">
        <v>204</v>
      </c>
      <c r="K475" s="54" t="s">
        <v>108</v>
      </c>
      <c r="L475" s="54" t="s">
        <v>135</v>
      </c>
      <c r="M475" s="54" t="s">
        <v>136</v>
      </c>
      <c r="N475" s="54" t="s">
        <v>298</v>
      </c>
    </row>
    <row r="476" spans="1:14" hidden="1">
      <c r="A476" s="108">
        <v>475</v>
      </c>
      <c r="B476" s="56" t="s">
        <v>1299</v>
      </c>
      <c r="C476" s="85" t="s">
        <v>311</v>
      </c>
      <c r="D476" s="56" t="s">
        <v>312</v>
      </c>
      <c r="E476" s="56">
        <v>19</v>
      </c>
      <c r="F476" s="56" t="s">
        <v>143</v>
      </c>
      <c r="G476" s="56" t="s">
        <v>45</v>
      </c>
      <c r="H476" s="56"/>
      <c r="I476" s="56" t="s">
        <v>313</v>
      </c>
      <c r="J476" t="s">
        <v>314</v>
      </c>
      <c r="K476" s="54" t="s">
        <v>199</v>
      </c>
      <c r="L476" s="54" t="s">
        <v>200</v>
      </c>
      <c r="M476" s="54" t="s">
        <v>315</v>
      </c>
      <c r="N476" s="54" t="s">
        <v>293</v>
      </c>
    </row>
    <row r="477" spans="1:14" hidden="1">
      <c r="A477" s="115">
        <v>476</v>
      </c>
      <c r="B477" s="56" t="s">
        <v>1299</v>
      </c>
      <c r="C477" s="85" t="s">
        <v>1730</v>
      </c>
      <c r="D477" s="56" t="s">
        <v>1731</v>
      </c>
      <c r="E477" s="56">
        <v>30</v>
      </c>
      <c r="F477" s="56" t="s">
        <v>143</v>
      </c>
      <c r="G477" s="56" t="s">
        <v>45</v>
      </c>
      <c r="H477" s="56"/>
      <c r="I477" s="56" t="s">
        <v>344</v>
      </c>
      <c r="J477" t="s">
        <v>292</v>
      </c>
      <c r="K477" s="54" t="s">
        <v>198</v>
      </c>
      <c r="L477" s="54" t="s">
        <v>135</v>
      </c>
      <c r="M477" s="54" t="s">
        <v>136</v>
      </c>
      <c r="N477" s="54" t="s">
        <v>293</v>
      </c>
    </row>
    <row r="478" spans="1:14" hidden="1">
      <c r="A478" s="115">
        <v>477</v>
      </c>
      <c r="B478" s="56" t="s">
        <v>1299</v>
      </c>
      <c r="C478" s="85" t="s">
        <v>1732</v>
      </c>
      <c r="D478" s="56" t="s">
        <v>1733</v>
      </c>
      <c r="E478" s="56">
        <v>13</v>
      </c>
      <c r="F478" s="56" t="s">
        <v>143</v>
      </c>
      <c r="G478" s="56" t="s">
        <v>45</v>
      </c>
      <c r="H478" s="56"/>
      <c r="I478" s="56" t="s">
        <v>296</v>
      </c>
      <c r="J478" t="s">
        <v>297</v>
      </c>
      <c r="K478" s="54" t="s">
        <v>135</v>
      </c>
      <c r="L478" s="54" t="s">
        <v>136</v>
      </c>
      <c r="M478" s="54" t="s">
        <v>150</v>
      </c>
      <c r="N478" s="54" t="s">
        <v>298</v>
      </c>
    </row>
    <row r="479" spans="1:14" hidden="1">
      <c r="A479" s="108">
        <v>478</v>
      </c>
      <c r="B479" s="56" t="s">
        <v>1299</v>
      </c>
      <c r="C479" s="85" t="s">
        <v>316</v>
      </c>
      <c r="D479" s="56" t="s">
        <v>317</v>
      </c>
      <c r="E479" s="56">
        <v>20</v>
      </c>
      <c r="F479" s="56" t="s">
        <v>143</v>
      </c>
      <c r="G479" s="56" t="s">
        <v>45</v>
      </c>
      <c r="H479" s="56"/>
      <c r="I479" s="56" t="s">
        <v>318</v>
      </c>
      <c r="J479" t="s">
        <v>212</v>
      </c>
      <c r="K479" s="54" t="s">
        <v>135</v>
      </c>
      <c r="L479" s="54" t="s">
        <v>136</v>
      </c>
      <c r="M479" s="54" t="s">
        <v>150</v>
      </c>
      <c r="N479" s="54" t="s">
        <v>298</v>
      </c>
    </row>
    <row r="480" spans="1:14" hidden="1">
      <c r="A480" s="108">
        <v>479</v>
      </c>
      <c r="B480" s="56" t="s">
        <v>1299</v>
      </c>
      <c r="C480" s="85" t="s">
        <v>1734</v>
      </c>
      <c r="D480" s="56" t="s">
        <v>1735</v>
      </c>
      <c r="E480" s="56">
        <v>15</v>
      </c>
      <c r="F480" s="56" t="s">
        <v>102</v>
      </c>
      <c r="G480" s="56" t="s">
        <v>45</v>
      </c>
      <c r="H480" s="56"/>
      <c r="I480" s="56" t="s">
        <v>1736</v>
      </c>
      <c r="J480" t="s">
        <v>212</v>
      </c>
      <c r="K480" s="54" t="s">
        <v>135</v>
      </c>
      <c r="L480" s="54" t="s">
        <v>136</v>
      </c>
      <c r="M480" s="54" t="s">
        <v>150</v>
      </c>
      <c r="N480" s="54" t="s">
        <v>298</v>
      </c>
    </row>
    <row r="481" spans="1:14" hidden="1">
      <c r="A481" s="115">
        <v>480</v>
      </c>
      <c r="B481" s="56" t="s">
        <v>1300</v>
      </c>
      <c r="C481" s="85" t="s">
        <v>927</v>
      </c>
      <c r="D481" s="56" t="s">
        <v>928</v>
      </c>
      <c r="E481" s="56">
        <v>14</v>
      </c>
      <c r="F481" s="56" t="s">
        <v>143</v>
      </c>
      <c r="G481" s="56" t="s">
        <v>74</v>
      </c>
      <c r="H481" s="56" t="s">
        <v>1737</v>
      </c>
      <c r="I481" s="54" t="s">
        <v>196</v>
      </c>
      <c r="J481" s="54" t="s">
        <v>292</v>
      </c>
      <c r="K481" s="54" t="s">
        <v>198</v>
      </c>
      <c r="L481" s="54" t="s">
        <v>135</v>
      </c>
      <c r="M481" s="54" t="s">
        <v>136</v>
      </c>
      <c r="N481" s="54" t="s">
        <v>298</v>
      </c>
    </row>
    <row r="482" spans="1:14" hidden="1">
      <c r="A482" s="108">
        <v>481</v>
      </c>
      <c r="B482" s="56" t="s">
        <v>1300</v>
      </c>
      <c r="C482" s="85" t="s">
        <v>1738</v>
      </c>
      <c r="D482" s="56" t="s">
        <v>1739</v>
      </c>
      <c r="E482" s="56">
        <v>21</v>
      </c>
      <c r="F482" s="56" t="s">
        <v>143</v>
      </c>
      <c r="G482" s="56" t="s">
        <v>74</v>
      </c>
      <c r="H482" s="56" t="s">
        <v>1737</v>
      </c>
      <c r="I482" s="56" t="s">
        <v>935</v>
      </c>
      <c r="J482" t="s">
        <v>223</v>
      </c>
      <c r="K482" s="54" t="s">
        <v>108</v>
      </c>
      <c r="L482" s="54" t="s">
        <v>130</v>
      </c>
      <c r="M482" s="54" t="s">
        <v>110</v>
      </c>
      <c r="N482" s="54" t="s">
        <v>298</v>
      </c>
    </row>
    <row r="483" spans="1:14" hidden="1">
      <c r="A483" s="115">
        <v>482</v>
      </c>
      <c r="B483" s="56" t="s">
        <v>1300</v>
      </c>
      <c r="C483" s="85" t="s">
        <v>929</v>
      </c>
      <c r="D483" s="56" t="s">
        <v>930</v>
      </c>
      <c r="E483" s="56">
        <v>21</v>
      </c>
      <c r="F483" s="56" t="s">
        <v>143</v>
      </c>
      <c r="G483" s="56" t="s">
        <v>74</v>
      </c>
      <c r="H483" s="56" t="s">
        <v>1737</v>
      </c>
      <c r="I483" s="54" t="s">
        <v>222</v>
      </c>
      <c r="J483" s="54" t="s">
        <v>324</v>
      </c>
      <c r="K483" s="54" t="s">
        <v>108</v>
      </c>
      <c r="L483" s="54" t="s">
        <v>109</v>
      </c>
      <c r="M483" s="54" t="s">
        <v>110</v>
      </c>
      <c r="N483" s="54" t="s">
        <v>117</v>
      </c>
    </row>
    <row r="484" spans="1:14" hidden="1">
      <c r="A484" s="115">
        <v>483</v>
      </c>
      <c r="B484" s="56" t="s">
        <v>1300</v>
      </c>
      <c r="C484" s="85" t="s">
        <v>931</v>
      </c>
      <c r="D484" s="56" t="s">
        <v>932</v>
      </c>
      <c r="E484" s="56">
        <v>22</v>
      </c>
      <c r="F484" s="56" t="s">
        <v>143</v>
      </c>
      <c r="G484" s="56" t="s">
        <v>74</v>
      </c>
      <c r="H484" s="56" t="s">
        <v>1737</v>
      </c>
      <c r="I484" s="54" t="s">
        <v>577</v>
      </c>
      <c r="J484" s="54" t="s">
        <v>324</v>
      </c>
      <c r="K484" s="54" t="s">
        <v>108</v>
      </c>
      <c r="L484" s="54" t="s">
        <v>130</v>
      </c>
      <c r="M484" s="54" t="s">
        <v>110</v>
      </c>
      <c r="N484" s="54" t="s">
        <v>117</v>
      </c>
    </row>
    <row r="485" spans="1:14" hidden="1">
      <c r="A485" s="108">
        <v>484</v>
      </c>
      <c r="B485" s="56" t="s">
        <v>1300</v>
      </c>
      <c r="C485" s="85" t="s">
        <v>933</v>
      </c>
      <c r="D485" s="56" t="s">
        <v>934</v>
      </c>
      <c r="E485" s="56"/>
      <c r="F485" s="56"/>
      <c r="G485" s="56" t="s">
        <v>74</v>
      </c>
      <c r="H485" s="56" t="s">
        <v>1737</v>
      </c>
      <c r="I485" s="54" t="s">
        <v>935</v>
      </c>
      <c r="J485" s="54" t="s">
        <v>324</v>
      </c>
      <c r="K485" s="54" t="s">
        <v>108</v>
      </c>
      <c r="L485" s="54" t="s">
        <v>130</v>
      </c>
      <c r="M485" s="54" t="s">
        <v>110</v>
      </c>
      <c r="N485" s="54" t="s">
        <v>298</v>
      </c>
    </row>
    <row r="486" spans="1:14" hidden="1">
      <c r="A486" s="108">
        <v>485</v>
      </c>
      <c r="B486" s="56" t="s">
        <v>1300</v>
      </c>
      <c r="C486" s="85" t="s">
        <v>1740</v>
      </c>
      <c r="D486" s="56" t="s">
        <v>1741</v>
      </c>
      <c r="E486" s="56">
        <v>17</v>
      </c>
      <c r="F486" s="56" t="s">
        <v>143</v>
      </c>
      <c r="G486" s="56" t="s">
        <v>74</v>
      </c>
      <c r="H486" s="56" t="s">
        <v>1737</v>
      </c>
      <c r="I486" s="56" t="s">
        <v>1351</v>
      </c>
      <c r="J486" t="s">
        <v>1690</v>
      </c>
      <c r="K486" t="s">
        <v>116</v>
      </c>
      <c r="L486" t="s">
        <v>109</v>
      </c>
      <c r="M486" t="s">
        <v>110</v>
      </c>
      <c r="N486" s="54" t="s">
        <v>162</v>
      </c>
    </row>
    <row r="487" spans="1:14" hidden="1">
      <c r="A487" s="115">
        <v>486</v>
      </c>
      <c r="B487" s="56" t="s">
        <v>1300</v>
      </c>
      <c r="C487" s="85" t="s">
        <v>936</v>
      </c>
      <c r="D487" s="56" t="s">
        <v>937</v>
      </c>
      <c r="E487" s="56">
        <v>31</v>
      </c>
      <c r="F487" s="56" t="s">
        <v>143</v>
      </c>
      <c r="G487" s="56" t="s">
        <v>74</v>
      </c>
      <c r="H487" s="56" t="s">
        <v>1737</v>
      </c>
      <c r="I487" s="54" t="s">
        <v>196</v>
      </c>
      <c r="J487" s="54" t="s">
        <v>938</v>
      </c>
      <c r="K487" s="54" t="s">
        <v>198</v>
      </c>
      <c r="L487" s="54" t="s">
        <v>135</v>
      </c>
      <c r="M487" s="54" t="s">
        <v>136</v>
      </c>
      <c r="N487" s="54" t="s">
        <v>298</v>
      </c>
    </row>
    <row r="488" spans="1:14" hidden="1">
      <c r="A488" s="115">
        <v>487</v>
      </c>
      <c r="B488" s="56" t="s">
        <v>1300</v>
      </c>
      <c r="C488" s="85" t="s">
        <v>939</v>
      </c>
      <c r="D488" s="56" t="s">
        <v>940</v>
      </c>
      <c r="E488" s="56">
        <v>23</v>
      </c>
      <c r="F488" s="56" t="s">
        <v>143</v>
      </c>
      <c r="G488" s="56" t="s">
        <v>74</v>
      </c>
      <c r="H488" s="56" t="s">
        <v>1737</v>
      </c>
      <c r="I488" s="54" t="s">
        <v>222</v>
      </c>
      <c r="J488" s="54" t="s">
        <v>292</v>
      </c>
      <c r="K488" s="54" t="s">
        <v>198</v>
      </c>
      <c r="L488" s="54" t="s">
        <v>135</v>
      </c>
      <c r="M488" s="54" t="s">
        <v>136</v>
      </c>
      <c r="N488" s="54" t="s">
        <v>298</v>
      </c>
    </row>
    <row r="489" spans="1:14" hidden="1">
      <c r="A489" s="108">
        <v>488</v>
      </c>
      <c r="B489" s="56" t="s">
        <v>1300</v>
      </c>
      <c r="C489" s="85" t="s">
        <v>941</v>
      </c>
      <c r="D489" s="56" t="s">
        <v>942</v>
      </c>
      <c r="E489" s="56">
        <v>12</v>
      </c>
      <c r="F489" s="56" t="s">
        <v>366</v>
      </c>
      <c r="G489" s="56" t="s">
        <v>74</v>
      </c>
      <c r="H489" s="56" t="s">
        <v>1737</v>
      </c>
      <c r="I489" s="56" t="s">
        <v>943</v>
      </c>
      <c r="J489" t="s">
        <v>679</v>
      </c>
      <c r="K489" s="54" t="s">
        <v>108</v>
      </c>
      <c r="L489" t="s">
        <v>109</v>
      </c>
      <c r="M489" t="s">
        <v>110</v>
      </c>
      <c r="N489" s="54" t="s">
        <v>162</v>
      </c>
    </row>
    <row r="490" spans="1:14" hidden="1">
      <c r="A490" s="108">
        <v>489</v>
      </c>
      <c r="B490" s="56" t="s">
        <v>1300</v>
      </c>
      <c r="C490" s="85" t="s">
        <v>1742</v>
      </c>
      <c r="D490" s="56" t="s">
        <v>1743</v>
      </c>
      <c r="E490" s="56">
        <v>22</v>
      </c>
      <c r="F490" s="56" t="s">
        <v>1744</v>
      </c>
      <c r="G490" s="56" t="s">
        <v>74</v>
      </c>
      <c r="H490" s="56" t="s">
        <v>1737</v>
      </c>
      <c r="I490" s="54" t="s">
        <v>943</v>
      </c>
      <c r="J490" s="54" t="s">
        <v>679</v>
      </c>
      <c r="K490" s="54" t="s">
        <v>108</v>
      </c>
      <c r="L490" t="s">
        <v>109</v>
      </c>
      <c r="M490" t="s">
        <v>110</v>
      </c>
      <c r="N490" s="54" t="s">
        <v>162</v>
      </c>
    </row>
    <row r="491" spans="1:14" hidden="1">
      <c r="A491" s="115">
        <v>490</v>
      </c>
      <c r="B491" s="56" t="s">
        <v>1300</v>
      </c>
      <c r="C491" s="85" t="s">
        <v>944</v>
      </c>
      <c r="D491" s="56" t="s">
        <v>945</v>
      </c>
      <c r="E491" s="56">
        <v>15</v>
      </c>
      <c r="F491" s="56" t="s">
        <v>366</v>
      </c>
      <c r="G491" s="56" t="s">
        <v>74</v>
      </c>
      <c r="H491" s="56" t="s">
        <v>1737</v>
      </c>
      <c r="I491" s="54" t="s">
        <v>870</v>
      </c>
      <c r="J491" s="54" t="s">
        <v>341</v>
      </c>
      <c r="K491" s="54" t="s">
        <v>198</v>
      </c>
      <c r="L491" s="54" t="s">
        <v>135</v>
      </c>
      <c r="M491" s="54" t="s">
        <v>136</v>
      </c>
      <c r="N491" s="54" t="s">
        <v>298</v>
      </c>
    </row>
    <row r="492" spans="1:14" hidden="1">
      <c r="A492" s="108">
        <v>491</v>
      </c>
      <c r="B492" s="56" t="s">
        <v>24</v>
      </c>
      <c r="C492" s="85" t="s">
        <v>855</v>
      </c>
      <c r="D492" s="56" t="s">
        <v>856</v>
      </c>
      <c r="E492" s="56">
        <v>26</v>
      </c>
      <c r="F492" s="56" t="s">
        <v>143</v>
      </c>
      <c r="G492" s="56" t="s">
        <v>70</v>
      </c>
      <c r="H492" s="56" t="s">
        <v>1745</v>
      </c>
      <c r="I492" s="54" t="s">
        <v>358</v>
      </c>
      <c r="J492" s="54" t="s">
        <v>359</v>
      </c>
      <c r="K492" s="54" t="s">
        <v>198</v>
      </c>
      <c r="L492" s="54" t="s">
        <v>135</v>
      </c>
      <c r="M492" s="54" t="s">
        <v>136</v>
      </c>
      <c r="N492" s="54" t="s">
        <v>293</v>
      </c>
    </row>
    <row r="493" spans="1:14" hidden="1">
      <c r="A493" s="115">
        <v>492</v>
      </c>
      <c r="B493" s="56" t="s">
        <v>24</v>
      </c>
      <c r="C493" s="85" t="s">
        <v>857</v>
      </c>
      <c r="D493" s="56" t="s">
        <v>858</v>
      </c>
      <c r="E493" s="56">
        <v>25</v>
      </c>
      <c r="F493" s="56" t="s">
        <v>143</v>
      </c>
      <c r="G493" s="56" t="s">
        <v>70</v>
      </c>
      <c r="H493" s="56" t="s">
        <v>1745</v>
      </c>
      <c r="I493" s="54" t="s">
        <v>358</v>
      </c>
      <c r="J493" s="54" t="s">
        <v>664</v>
      </c>
      <c r="K493" s="54" t="s">
        <v>198</v>
      </c>
      <c r="L493" s="54" t="s">
        <v>135</v>
      </c>
      <c r="M493" s="54" t="s">
        <v>136</v>
      </c>
      <c r="N493" s="54" t="s">
        <v>162</v>
      </c>
    </row>
    <row r="494" spans="1:14" hidden="1">
      <c r="A494" s="115">
        <v>493</v>
      </c>
      <c r="B494" s="56" t="s">
        <v>24</v>
      </c>
      <c r="C494" s="85" t="s">
        <v>859</v>
      </c>
      <c r="D494" s="56" t="s">
        <v>860</v>
      </c>
      <c r="E494" s="56">
        <v>18</v>
      </c>
      <c r="F494" s="56" t="s">
        <v>382</v>
      </c>
      <c r="G494" s="56" t="s">
        <v>70</v>
      </c>
      <c r="H494" s="56" t="s">
        <v>1745</v>
      </c>
      <c r="I494" s="54" t="s">
        <v>861</v>
      </c>
      <c r="J494" s="54" t="s">
        <v>292</v>
      </c>
      <c r="K494" s="54" t="s">
        <v>198</v>
      </c>
      <c r="L494" s="54" t="s">
        <v>135</v>
      </c>
      <c r="M494" s="54" t="s">
        <v>136</v>
      </c>
      <c r="N494" s="54" t="s">
        <v>293</v>
      </c>
    </row>
    <row r="495" spans="1:14" hidden="1">
      <c r="A495" s="108">
        <v>494</v>
      </c>
      <c r="B495" s="56" t="s">
        <v>24</v>
      </c>
      <c r="C495" s="85" t="s">
        <v>862</v>
      </c>
      <c r="D495" s="56" t="s">
        <v>863</v>
      </c>
      <c r="E495" s="56">
        <v>17</v>
      </c>
      <c r="F495" s="56" t="s">
        <v>143</v>
      </c>
      <c r="G495" s="56" t="s">
        <v>70</v>
      </c>
      <c r="H495" s="56" t="s">
        <v>1745</v>
      </c>
      <c r="I495" s="54" t="s">
        <v>861</v>
      </c>
      <c r="J495" s="54" t="s">
        <v>371</v>
      </c>
      <c r="K495" s="54" t="s">
        <v>116</v>
      </c>
      <c r="L495" s="54" t="s">
        <v>199</v>
      </c>
      <c r="M495" s="54" t="s">
        <v>110</v>
      </c>
      <c r="N495" s="54" t="s">
        <v>298</v>
      </c>
    </row>
    <row r="496" spans="1:14" hidden="1">
      <c r="A496" s="108">
        <v>495</v>
      </c>
      <c r="B496" s="56" t="s">
        <v>24</v>
      </c>
      <c r="C496" s="85" t="s">
        <v>864</v>
      </c>
      <c r="D496" s="56" t="s">
        <v>865</v>
      </c>
      <c r="E496" s="56">
        <v>23</v>
      </c>
      <c r="F496" s="56" t="s">
        <v>143</v>
      </c>
      <c r="G496" s="56" t="s">
        <v>70</v>
      </c>
      <c r="H496" s="56" t="s">
        <v>1745</v>
      </c>
      <c r="I496" s="54" t="s">
        <v>377</v>
      </c>
      <c r="J496" s="54" t="s">
        <v>307</v>
      </c>
      <c r="K496" s="54" t="s">
        <v>198</v>
      </c>
      <c r="L496" s="54" t="s">
        <v>135</v>
      </c>
      <c r="M496" s="54" t="s">
        <v>136</v>
      </c>
      <c r="N496" s="54" t="s">
        <v>162</v>
      </c>
    </row>
    <row r="497" spans="1:14" hidden="1">
      <c r="A497" s="115">
        <v>496</v>
      </c>
      <c r="B497" s="56" t="s">
        <v>24</v>
      </c>
      <c r="C497" s="85" t="s">
        <v>866</v>
      </c>
      <c r="D497" s="56" t="s">
        <v>170</v>
      </c>
      <c r="E497" s="56">
        <v>14</v>
      </c>
      <c r="F497" s="56" t="s">
        <v>867</v>
      </c>
      <c r="G497" s="56" t="s">
        <v>70</v>
      </c>
      <c r="H497" s="56" t="s">
        <v>1745</v>
      </c>
      <c r="I497" s="54" t="s">
        <v>861</v>
      </c>
      <c r="J497" s="54" t="s">
        <v>351</v>
      </c>
      <c r="K497" s="54" t="s">
        <v>116</v>
      </c>
      <c r="L497" s="54" t="s">
        <v>199</v>
      </c>
      <c r="M497" s="54" t="s">
        <v>110</v>
      </c>
      <c r="N497" s="54" t="s">
        <v>293</v>
      </c>
    </row>
    <row r="498" spans="1:14" hidden="1">
      <c r="A498" s="115">
        <v>497</v>
      </c>
      <c r="B498" s="56" t="s">
        <v>24</v>
      </c>
      <c r="C498" s="85" t="s">
        <v>868</v>
      </c>
      <c r="D498" s="56" t="s">
        <v>869</v>
      </c>
      <c r="E498" s="56">
        <v>17</v>
      </c>
      <c r="F498" s="56" t="s">
        <v>102</v>
      </c>
      <c r="G498" s="56" t="s">
        <v>70</v>
      </c>
      <c r="H498" s="56" t="s">
        <v>1745</v>
      </c>
      <c r="I498" s="54" t="s">
        <v>870</v>
      </c>
      <c r="J498" s="54" t="s">
        <v>223</v>
      </c>
      <c r="K498" s="54" t="s">
        <v>116</v>
      </c>
      <c r="L498" s="54" t="s">
        <v>199</v>
      </c>
      <c r="M498" s="54" t="s">
        <v>110</v>
      </c>
      <c r="N498" s="54" t="s">
        <v>298</v>
      </c>
    </row>
    <row r="499" spans="1:14" hidden="1">
      <c r="A499" s="108">
        <v>498</v>
      </c>
      <c r="B499" s="56" t="s">
        <v>24</v>
      </c>
      <c r="C499" s="85" t="s">
        <v>871</v>
      </c>
      <c r="D499" s="56" t="s">
        <v>872</v>
      </c>
      <c r="E499" s="56">
        <v>8</v>
      </c>
      <c r="F499" s="56" t="s">
        <v>102</v>
      </c>
      <c r="G499" s="56" t="s">
        <v>70</v>
      </c>
      <c r="H499" s="56" t="s">
        <v>1745</v>
      </c>
      <c r="I499" s="54" t="s">
        <v>873</v>
      </c>
      <c r="J499" s="54" t="s">
        <v>573</v>
      </c>
      <c r="K499" s="54" t="s">
        <v>198</v>
      </c>
      <c r="L499" s="54" t="s">
        <v>108</v>
      </c>
      <c r="M499" s="54" t="s">
        <v>135</v>
      </c>
      <c r="N499" s="54" t="s">
        <v>162</v>
      </c>
    </row>
    <row r="500" spans="1:14" hidden="1">
      <c r="A500" s="108">
        <v>499</v>
      </c>
      <c r="B500" s="56" t="s">
        <v>24</v>
      </c>
      <c r="C500" s="85" t="s">
        <v>874</v>
      </c>
      <c r="D500" s="56" t="s">
        <v>875</v>
      </c>
      <c r="E500" s="56">
        <v>17</v>
      </c>
      <c r="F500" s="56" t="s">
        <v>143</v>
      </c>
      <c r="G500" s="56" t="s">
        <v>70</v>
      </c>
      <c r="H500" s="56" t="s">
        <v>1745</v>
      </c>
      <c r="I500" s="54" t="s">
        <v>358</v>
      </c>
      <c r="J500" s="54" t="s">
        <v>598</v>
      </c>
      <c r="K500" s="54" t="s">
        <v>116</v>
      </c>
      <c r="L500" s="54" t="s">
        <v>199</v>
      </c>
      <c r="M500" s="54" t="s">
        <v>110</v>
      </c>
      <c r="N500" s="54" t="s">
        <v>298</v>
      </c>
    </row>
    <row r="501" spans="1:14" hidden="1">
      <c r="A501" s="115">
        <v>500</v>
      </c>
      <c r="B501" s="56" t="s">
        <v>24</v>
      </c>
      <c r="C501" s="85" t="s">
        <v>876</v>
      </c>
      <c r="D501" s="56" t="s">
        <v>877</v>
      </c>
      <c r="E501" s="56">
        <v>10</v>
      </c>
      <c r="F501" s="56" t="s">
        <v>382</v>
      </c>
      <c r="G501" s="56" t="s">
        <v>70</v>
      </c>
      <c r="H501" s="56" t="s">
        <v>1745</v>
      </c>
      <c r="I501" s="54" t="s">
        <v>861</v>
      </c>
      <c r="J501" s="54" t="s">
        <v>878</v>
      </c>
      <c r="K501" s="54" t="s">
        <v>116</v>
      </c>
      <c r="L501" s="54" t="s">
        <v>199</v>
      </c>
      <c r="M501" s="54" t="s">
        <v>110</v>
      </c>
      <c r="N501" s="54" t="s">
        <v>298</v>
      </c>
    </row>
    <row r="502" spans="1:14" hidden="1">
      <c r="A502" s="108">
        <v>501</v>
      </c>
      <c r="B502" s="56" t="s">
        <v>24</v>
      </c>
      <c r="C502" s="85" t="s">
        <v>879</v>
      </c>
      <c r="D502" s="56" t="s">
        <v>880</v>
      </c>
      <c r="E502" s="56">
        <v>14</v>
      </c>
      <c r="F502" s="56" t="s">
        <v>867</v>
      </c>
      <c r="G502" s="56" t="s">
        <v>70</v>
      </c>
      <c r="H502" s="56" t="s">
        <v>1745</v>
      </c>
      <c r="I502" s="54" t="s">
        <v>654</v>
      </c>
      <c r="J502" s="54" t="s">
        <v>351</v>
      </c>
      <c r="K502" s="54" t="s">
        <v>116</v>
      </c>
      <c r="L502" s="54" t="s">
        <v>199</v>
      </c>
      <c r="M502" s="54" t="s">
        <v>110</v>
      </c>
      <c r="N502" s="54" t="s">
        <v>293</v>
      </c>
    </row>
    <row r="503" spans="1:14" hidden="1">
      <c r="A503" s="115">
        <v>502</v>
      </c>
      <c r="B503" s="56" t="s">
        <v>24</v>
      </c>
      <c r="C503" s="85" t="s">
        <v>881</v>
      </c>
      <c r="D503" s="56" t="s">
        <v>882</v>
      </c>
      <c r="E503" s="56">
        <v>8</v>
      </c>
      <c r="F503" s="56" t="s">
        <v>402</v>
      </c>
      <c r="G503" s="56" t="s">
        <v>70</v>
      </c>
      <c r="H503" s="56" t="s">
        <v>1745</v>
      </c>
      <c r="I503" s="54" t="s">
        <v>354</v>
      </c>
      <c r="J503" s="54" t="s">
        <v>368</v>
      </c>
      <c r="K503" s="54" t="s">
        <v>198</v>
      </c>
      <c r="L503" s="54" t="s">
        <v>108</v>
      </c>
      <c r="M503" s="54" t="s">
        <v>135</v>
      </c>
      <c r="N503" s="54" t="s">
        <v>298</v>
      </c>
    </row>
    <row r="506" spans="1:14">
      <c r="D506" t="s">
        <v>1746</v>
      </c>
    </row>
  </sheetData>
  <conditionalFormatting sqref="K359:M360 K362:M364">
    <cfRule type="containsBlanks" dxfId="118" priority="16">
      <formula>LEN(TRIM(K359))=0</formula>
    </cfRule>
  </conditionalFormatting>
  <conditionalFormatting sqref="I359:J361 I363:J365">
    <cfRule type="containsBlanks" dxfId="117" priority="14">
      <formula>LEN(TRIM(I359))=0</formula>
    </cfRule>
  </conditionalFormatting>
  <conditionalFormatting sqref="K367:M367">
    <cfRule type="containsBlanks" dxfId="116" priority="13">
      <formula>LEN(TRIM(K367))=0</formula>
    </cfRule>
  </conditionalFormatting>
  <conditionalFormatting sqref="K368:M368">
    <cfRule type="containsBlanks" dxfId="115" priority="12">
      <formula>LEN(TRIM(K368))=0</formula>
    </cfRule>
  </conditionalFormatting>
  <conditionalFormatting sqref="K376:M376">
    <cfRule type="containsBlanks" dxfId="114" priority="11">
      <formula>LEN(TRIM(K376))=0</formula>
    </cfRule>
  </conditionalFormatting>
  <conditionalFormatting sqref="K377:M377">
    <cfRule type="containsBlanks" dxfId="113" priority="10">
      <formula>LEN(TRIM(K377))=0</formula>
    </cfRule>
  </conditionalFormatting>
  <conditionalFormatting sqref="K380:M380">
    <cfRule type="containsBlanks" dxfId="112" priority="7">
      <formula>LEN(TRIM(K380))=0</formula>
    </cfRule>
  </conditionalFormatting>
  <conditionalFormatting sqref="I481:I491">
    <cfRule type="cellIs" dxfId="111" priority="6" operator="equal">
      <formula>"Event Participated"</formula>
    </cfRule>
  </conditionalFormatting>
  <conditionalFormatting sqref="I481:I491">
    <cfRule type="cellIs" dxfId="110" priority="5" operator="equal">
      <formula>"Feedback Collected"</formula>
    </cfRule>
  </conditionalFormatting>
  <conditionalFormatting sqref="I481:I491">
    <cfRule type="cellIs" dxfId="109" priority="4" operator="equal">
      <formula>"Distributed"</formula>
    </cfRule>
  </conditionalFormatting>
  <conditionalFormatting sqref="I481:I491">
    <cfRule type="cellIs" dxfId="108" priority="3" operator="equal">
      <formula>"Considered"</formula>
    </cfRule>
  </conditionalFormatting>
  <conditionalFormatting sqref="I481:I491">
    <cfRule type="cellIs" dxfId="107" priority="2" operator="equal">
      <formula>"Not Considered"</formula>
    </cfRule>
  </conditionalFormatting>
  <conditionalFormatting sqref="I481:I491">
    <cfRule type="cellIs" dxfId="106" priority="1" operator="equal">
      <formula>"Printed"</formula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94C4-A5C4-4202-9FD9-5D1F3D364D1C}">
  <dimension ref="A1:AO24"/>
  <sheetViews>
    <sheetView workbookViewId="0">
      <pane ySplit="1" topLeftCell="AC23" activePane="bottomLeft" state="frozen"/>
      <selection pane="bottomLeft" activeCell="AC23" sqref="AC23"/>
    </sheetView>
  </sheetViews>
  <sheetFormatPr defaultRowHeight="15"/>
  <cols>
    <col min="2" max="2" width="10" customWidth="1"/>
    <col min="3" max="5" width="4.42578125" customWidth="1"/>
    <col min="7" max="7" width="10.140625" customWidth="1"/>
    <col min="8" max="10" width="5.28515625" customWidth="1"/>
    <col min="12" max="12" width="10.85546875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 ht="45.75">
      <c r="A1" s="20" t="s">
        <v>111</v>
      </c>
      <c r="C1" s="20" t="s">
        <v>1747</v>
      </c>
      <c r="D1" s="20" t="s">
        <v>1748</v>
      </c>
      <c r="E1" s="20" t="s">
        <v>1749</v>
      </c>
      <c r="F1" s="20" t="s">
        <v>162</v>
      </c>
      <c r="H1" s="20" t="s">
        <v>1747</v>
      </c>
      <c r="I1" s="20" t="s">
        <v>1748</v>
      </c>
      <c r="J1" s="20" t="s">
        <v>1749</v>
      </c>
      <c r="K1" s="20" t="s">
        <v>117</v>
      </c>
      <c r="M1" s="20" t="s">
        <v>1747</v>
      </c>
      <c r="N1" s="20" t="s">
        <v>1748</v>
      </c>
      <c r="O1" s="20" t="s">
        <v>1749</v>
      </c>
      <c r="P1" s="20" t="s">
        <v>188</v>
      </c>
      <c r="R1" s="20" t="s">
        <v>1747</v>
      </c>
      <c r="S1" s="20" t="s">
        <v>1748</v>
      </c>
      <c r="T1" s="20" t="s">
        <v>1749</v>
      </c>
      <c r="U1" s="20" t="s">
        <v>16</v>
      </c>
      <c r="W1" s="20" t="s">
        <v>1747</v>
      </c>
      <c r="X1" s="20" t="s">
        <v>1748</v>
      </c>
      <c r="Y1" s="20" t="s">
        <v>1749</v>
      </c>
      <c r="Z1" s="20" t="s">
        <v>122</v>
      </c>
      <c r="AB1" s="20" t="s">
        <v>1747</v>
      </c>
      <c r="AC1" s="20" t="s">
        <v>1748</v>
      </c>
      <c r="AD1" s="20" t="s">
        <v>1749</v>
      </c>
      <c r="AE1" s="20" t="s">
        <v>12</v>
      </c>
      <c r="AG1" s="20" t="s">
        <v>1747</v>
      </c>
      <c r="AH1" s="20" t="s">
        <v>1748</v>
      </c>
      <c r="AI1" s="20" t="s">
        <v>1749</v>
      </c>
      <c r="AL1" t="s">
        <v>1750</v>
      </c>
    </row>
    <row r="2" spans="1:41">
      <c r="A2" t="s">
        <v>116</v>
      </c>
      <c r="B2" t="s">
        <v>1751</v>
      </c>
      <c r="C2" cm="1">
        <f t="array" ref="C2">SUMPRODUCT(('ALL 498 CONSOLIDATED NEW'!$N$2:$N$503=A$1)*(A2='ALL 498 CONSOLIDATED NEW'!$K$2:$M$503)*(ISNUMBER(MATCH('ALL 498 CONSOLIDATED NEW'!$G$2:$G$503,Table171314[SCHOOL LIST],0))))</f>
        <v>2</v>
      </c>
      <c r="D2">
        <v>2</v>
      </c>
      <c r="E2">
        <f>C2-D2</f>
        <v>0</v>
      </c>
      <c r="F2" t="s">
        <v>116</v>
      </c>
      <c r="G2" t="s">
        <v>1752</v>
      </c>
      <c r="H2" cm="1">
        <f t="array" ref="H2">SUMPRODUCT(('ALL 498 CONSOLIDATED NEW'!$N$2:$N$503=F$1)*(F2='ALL 498 CONSOLIDATED NEW'!$K$2:$M$503)*(ISNUMBER(MATCH('ALL 498 CONSOLIDATED NEW'!$G$2:$G$503,Table171314[SCHOOL LIST],0))))</f>
        <v>1</v>
      </c>
      <c r="I2">
        <v>1</v>
      </c>
      <c r="J2">
        <f>H2-I2</f>
        <v>0</v>
      </c>
      <c r="K2" t="s">
        <v>116</v>
      </c>
      <c r="L2">
        <v>105101001</v>
      </c>
      <c r="M2" cm="1">
        <f t="array" ref="M2">SUMPRODUCT(('ALL 498 CONSOLIDATED NEW'!$N$2:$N$503=K$1)*(K2='ALL 498 CONSOLIDATED NEW'!$K$2:$M$503)*(ISNUMBER(MATCH('ALL 498 CONSOLIDATED NEW'!$G$2:$G$503,Table171314[SCHOOL LIST],0))))</f>
        <v>2</v>
      </c>
      <c r="N2">
        <v>2</v>
      </c>
      <c r="O2">
        <f>M2-N2</f>
        <v>0</v>
      </c>
      <c r="P2" t="s">
        <v>186</v>
      </c>
      <c r="Q2">
        <v>302202001</v>
      </c>
      <c r="R2" cm="1">
        <f t="array" ref="R2">SUMPRODUCT(('ALL 498 CONSOLIDATED NEW'!$N$2:$N$503=P$1)*(P2='ALL 498 CONSOLIDATED NEW'!$K$2:$M$503)*(ISNUMBER(MATCH('ALL 498 CONSOLIDATED NEW'!$G$2:$G$503,Table171314[SCHOOL LIST],0))))</f>
        <v>15</v>
      </c>
      <c r="S2">
        <v>15</v>
      </c>
      <c r="T2">
        <f>R2-S2</f>
        <v>0</v>
      </c>
      <c r="U2" t="s">
        <v>1313</v>
      </c>
      <c r="V2">
        <v>301201999</v>
      </c>
      <c r="W2" cm="1">
        <f t="array" ref="W2">SUMPRODUCT(('ALL 498 CONSOLIDATED NEW'!$N$2:$N$503=U$1)*(U2='ALL 498 CONSOLIDATED NEW'!$K$2:$M$503)*(ISNUMBER(MATCH('ALL 498 CONSOLIDATED NEW'!$G$2:$G$503,Table171314[SCHOOL LIST],0))))</f>
        <v>36</v>
      </c>
      <c r="X2">
        <v>36</v>
      </c>
      <c r="Y2">
        <f>W2-X2</f>
        <v>0</v>
      </c>
      <c r="Z2" t="s">
        <v>1321</v>
      </c>
      <c r="AA2">
        <v>104104009</v>
      </c>
      <c r="AB2" cm="1">
        <f t="array" ref="AB2">SUMPRODUCT(('ALL 498 CONSOLIDATED NEW'!$N$2:$N$503=Z$1)*(Z2='ALL 498 CONSOLIDATED NEW'!$K$2:$M$503)*(ISNUMBER(MATCH('ALL 498 CONSOLIDATED NEW'!$G$2:$G$503,Table171314[SCHOOL LIST],0))))</f>
        <v>12</v>
      </c>
      <c r="AC2">
        <v>3</v>
      </c>
      <c r="AD2">
        <f>AB2-AC2</f>
        <v>9</v>
      </c>
      <c r="AE2" t="s">
        <v>1365</v>
      </c>
      <c r="AF2">
        <v>204301999</v>
      </c>
      <c r="AG2" cm="1">
        <f t="array" ref="AG2">SUMPRODUCT(('ALL 498 CONSOLIDATED NEW'!$N$2:$N$503=AE$1)*(AE2='ALL 498 CONSOLIDATED NEW'!$K$2:$M$503)*(ISNUMBER(MATCH('ALL 498 CONSOLIDATED NEW'!$G$2:$G$503,Table171314[SCHOOL LIST],0))))</f>
        <v>8</v>
      </c>
      <c r="AH2">
        <v>0</v>
      </c>
      <c r="AI2">
        <f>AG2-AH2</f>
        <v>8</v>
      </c>
      <c r="AL2" s="58" t="s">
        <v>71</v>
      </c>
    </row>
    <row r="3" spans="1:41">
      <c r="A3" t="s">
        <v>1753</v>
      </c>
      <c r="B3" t="s">
        <v>1754</v>
      </c>
      <c r="C3" cm="1">
        <f t="array" ref="C3">SUMPRODUCT(('ALL 498 CONSOLIDATED NEW'!$N$2:$N$503=A$1)*(A3='ALL 498 CONSOLIDATED NEW'!$K$2:$M$503)*(ISNUMBER(MATCH('ALL 498 CONSOLIDATED NEW'!$G$2:$G$503,Table171314[SCHOOL LIST],0))))</f>
        <v>0</v>
      </c>
      <c r="D3">
        <v>0</v>
      </c>
      <c r="E3">
        <f t="shared" ref="E3:E22" si="0">C3-D3</f>
        <v>0</v>
      </c>
      <c r="F3" t="s">
        <v>1753</v>
      </c>
      <c r="G3" t="s">
        <v>1755</v>
      </c>
      <c r="H3" cm="1">
        <f t="array" ref="H3">SUMPRODUCT(('ALL 498 CONSOLIDATED NEW'!$N$2:$N$503=F$1)*(F3='ALL 498 CONSOLIDATED NEW'!$K$2:$M$503)*(ISNUMBER(MATCH('ALL 498 CONSOLIDATED NEW'!$G$2:$G$503,Table171314[SCHOOL LIST],0))))</f>
        <v>0</v>
      </c>
      <c r="I3">
        <v>0</v>
      </c>
      <c r="J3">
        <f t="shared" ref="J3:J22" si="1">H3-I3</f>
        <v>0</v>
      </c>
      <c r="K3" t="s">
        <v>1753</v>
      </c>
      <c r="L3">
        <v>105101002</v>
      </c>
      <c r="M3" cm="1">
        <f t="array" ref="M3">SUMPRODUCT(('ALL 498 CONSOLIDATED NEW'!$N$2:$N$503=K$1)*(K3='ALL 498 CONSOLIDATED NEW'!$K$2:$M$503)*(ISNUMBER(MATCH('ALL 498 CONSOLIDATED NEW'!$G$2:$G$503,Table171314[SCHOOL LIST],0))))</f>
        <v>0</v>
      </c>
      <c r="N3">
        <v>0</v>
      </c>
      <c r="O3">
        <f t="shared" ref="O3:O22" si="2">M3-N3</f>
        <v>0</v>
      </c>
      <c r="P3" t="s">
        <v>187</v>
      </c>
      <c r="Q3" t="s">
        <v>1756</v>
      </c>
      <c r="R3" cm="1">
        <f t="array" ref="R3">SUMPRODUCT(('ALL 498 CONSOLIDATED NEW'!$N$2:$N$503=P$1)*(P3='ALL 498 CONSOLIDATED NEW'!$K$2:$M$503)*(ISNUMBER(MATCH('ALL 498 CONSOLIDATED NEW'!$G$2:$G$503,Table171314[SCHOOL LIST],0))))</f>
        <v>15</v>
      </c>
      <c r="S3">
        <v>15</v>
      </c>
      <c r="T3">
        <f>R3-S3</f>
        <v>0</v>
      </c>
      <c r="AL3" s="58" t="s">
        <v>60</v>
      </c>
      <c r="AM3" t="s">
        <v>1291</v>
      </c>
      <c r="AN3" t="s">
        <v>1304</v>
      </c>
      <c r="AO3" t="s">
        <v>1293</v>
      </c>
    </row>
    <row r="4" spans="1:41">
      <c r="A4" t="s">
        <v>109</v>
      </c>
      <c r="B4" t="s">
        <v>1757</v>
      </c>
      <c r="C4" cm="1">
        <f t="array" ref="C4">SUMPRODUCT(('ALL 498 CONSOLIDATED NEW'!$N$2:$N$503=A$1)*(A4='ALL 498 CONSOLIDATED NEW'!$K$2:$M$503)*(ISNUMBER(MATCH('ALL 498 CONSOLIDATED NEW'!$G$2:$G$503,Table171314[SCHOOL LIST],0))))</f>
        <v>2</v>
      </c>
      <c r="D4">
        <v>2</v>
      </c>
      <c r="E4">
        <f t="shared" si="0"/>
        <v>0</v>
      </c>
      <c r="F4" t="s">
        <v>109</v>
      </c>
      <c r="G4" t="s">
        <v>1758</v>
      </c>
      <c r="H4" cm="1">
        <f t="array" ref="H4">SUMPRODUCT(('ALL 498 CONSOLIDATED NEW'!$N$2:$N$503=F$1)*(F4='ALL 498 CONSOLIDATED NEW'!$K$2:$M$503)*(ISNUMBER(MATCH('ALL 498 CONSOLIDATED NEW'!$G$2:$G$503,Table171314[SCHOOL LIST],0))))</f>
        <v>2</v>
      </c>
      <c r="I4">
        <v>2</v>
      </c>
      <c r="J4">
        <f t="shared" si="1"/>
        <v>0</v>
      </c>
      <c r="K4" t="s">
        <v>109</v>
      </c>
      <c r="L4">
        <v>105101003</v>
      </c>
      <c r="M4" cm="1">
        <f t="array" ref="M4">SUMPRODUCT(('ALL 498 CONSOLIDATED NEW'!$N$2:$N$503=K$1)*(K4='ALL 498 CONSOLIDATED NEW'!$K$2:$M$503)*(ISNUMBER(MATCH('ALL 498 CONSOLIDATED NEW'!$G$2:$G$503,Table171314[SCHOOL LIST],0))))</f>
        <v>3</v>
      </c>
      <c r="N4">
        <v>3</v>
      </c>
      <c r="O4">
        <f t="shared" si="2"/>
        <v>0</v>
      </c>
      <c r="AL4" s="58" t="s">
        <v>962</v>
      </c>
      <c r="AM4">
        <v>1</v>
      </c>
      <c r="AN4" t="s">
        <v>111</v>
      </c>
      <c r="AO4">
        <f>C22/3</f>
        <v>14</v>
      </c>
    </row>
    <row r="5" spans="1:41">
      <c r="A5" t="s">
        <v>1759</v>
      </c>
      <c r="B5" t="s">
        <v>1760</v>
      </c>
      <c r="C5" cm="1">
        <f t="array" ref="C5">SUMPRODUCT(('ALL 498 CONSOLIDATED NEW'!$N$2:$N$503=A$1)*(A5='ALL 498 CONSOLIDATED NEW'!$K$2:$M$503)*(ISNUMBER(MATCH('ALL 498 CONSOLIDATED NEW'!$G$2:$G$503,Table171314[SCHOOL LIST],0))))</f>
        <v>0</v>
      </c>
      <c r="D5">
        <v>0</v>
      </c>
      <c r="E5">
        <f t="shared" si="0"/>
        <v>0</v>
      </c>
      <c r="F5" t="s">
        <v>1759</v>
      </c>
      <c r="G5" t="s">
        <v>1761</v>
      </c>
      <c r="H5" cm="1">
        <f t="array" ref="H5">SUMPRODUCT(('ALL 498 CONSOLIDATED NEW'!$N$2:$N$503=F$1)*(F5='ALL 498 CONSOLIDATED NEW'!$K$2:$M$503)*(ISNUMBER(MATCH('ALL 498 CONSOLIDATED NEW'!$G$2:$G$503,Table171314[SCHOOL LIST],0))))</f>
        <v>0</v>
      </c>
      <c r="I5">
        <v>0</v>
      </c>
      <c r="J5">
        <f t="shared" si="1"/>
        <v>0</v>
      </c>
      <c r="K5" t="s">
        <v>1759</v>
      </c>
      <c r="L5">
        <v>105101004</v>
      </c>
      <c r="M5" cm="1">
        <f t="array" ref="M5">SUMPRODUCT(('ALL 498 CONSOLIDATED NEW'!$N$2:$N$503=K$1)*(K5='ALL 498 CONSOLIDATED NEW'!$K$2:$M$503)*(ISNUMBER(MATCH('ALL 498 CONSOLIDATED NEW'!$G$2:$G$503,Table171314[SCHOOL LIST],0))))</f>
        <v>0</v>
      </c>
      <c r="N5">
        <v>0</v>
      </c>
      <c r="O5">
        <f t="shared" si="2"/>
        <v>0</v>
      </c>
      <c r="AL5" s="58" t="s">
        <v>87</v>
      </c>
      <c r="AM5">
        <v>2</v>
      </c>
      <c r="AN5" t="s">
        <v>162</v>
      </c>
      <c r="AO5">
        <f>H22/3</f>
        <v>11</v>
      </c>
    </row>
    <row r="6" spans="1:41">
      <c r="A6" t="s">
        <v>130</v>
      </c>
      <c r="B6" t="s">
        <v>1762</v>
      </c>
      <c r="C6" cm="1">
        <f t="array" ref="C6">SUMPRODUCT(('ALL 498 CONSOLIDATED NEW'!$N$2:$N$503=A$1)*(A6='ALL 498 CONSOLIDATED NEW'!$K$2:$M$503)*(ISNUMBER(MATCH('ALL 498 CONSOLIDATED NEW'!$G$2:$G$503,Table171314[SCHOOL LIST],0))))</f>
        <v>0</v>
      </c>
      <c r="D6">
        <v>0</v>
      </c>
      <c r="E6">
        <f t="shared" si="0"/>
        <v>0</v>
      </c>
      <c r="F6" t="s">
        <v>130</v>
      </c>
      <c r="G6" t="s">
        <v>1763</v>
      </c>
      <c r="H6" cm="1">
        <f t="array" ref="H6">SUMPRODUCT(('ALL 498 CONSOLIDATED NEW'!$N$2:$N$503=F$1)*(F6='ALL 498 CONSOLIDATED NEW'!$K$2:$M$503)*(ISNUMBER(MATCH('ALL 498 CONSOLIDATED NEW'!$G$2:$G$503,Table171314[SCHOOL LIST],0))))</f>
        <v>1</v>
      </c>
      <c r="I6">
        <v>1</v>
      </c>
      <c r="J6">
        <f t="shared" si="1"/>
        <v>0</v>
      </c>
      <c r="K6" t="s">
        <v>130</v>
      </c>
      <c r="L6">
        <v>105101005</v>
      </c>
      <c r="M6" cm="1">
        <f t="array" ref="M6">SUMPRODUCT(('ALL 498 CONSOLIDATED NEW'!$N$2:$N$503=K$1)*(K6='ALL 498 CONSOLIDATED NEW'!$K$2:$M$503)*(ISNUMBER(MATCH('ALL 498 CONSOLIDATED NEW'!$G$2:$G$503,Table171314[SCHOOL LIST],0))))</f>
        <v>3</v>
      </c>
      <c r="N6">
        <v>3</v>
      </c>
      <c r="O6">
        <f t="shared" si="2"/>
        <v>0</v>
      </c>
      <c r="AL6" s="58" t="s">
        <v>77</v>
      </c>
      <c r="AM6">
        <v>3</v>
      </c>
      <c r="AN6" t="s">
        <v>117</v>
      </c>
      <c r="AO6">
        <f>M22/3</f>
        <v>18</v>
      </c>
    </row>
    <row r="7" spans="1:41">
      <c r="A7" t="s">
        <v>443</v>
      </c>
      <c r="B7" t="s">
        <v>1764</v>
      </c>
      <c r="C7" cm="1">
        <f t="array" ref="C7">SUMPRODUCT(('ALL 498 CONSOLIDATED NEW'!$N$2:$N$503=A$1)*(A7='ALL 498 CONSOLIDATED NEW'!$K$2:$M$503)*(ISNUMBER(MATCH('ALL 498 CONSOLIDATED NEW'!$G$2:$G$503,Table171314[SCHOOL LIST],0))))</f>
        <v>0</v>
      </c>
      <c r="D7">
        <v>0</v>
      </c>
      <c r="E7">
        <f t="shared" si="0"/>
        <v>0</v>
      </c>
      <c r="F7" t="s">
        <v>443</v>
      </c>
      <c r="G7" t="s">
        <v>1765</v>
      </c>
      <c r="H7" cm="1">
        <f t="array" ref="H7">SUMPRODUCT(('ALL 498 CONSOLIDATED NEW'!$N$2:$N$503=F$1)*(F7='ALL 498 CONSOLIDATED NEW'!$K$2:$M$503)*(ISNUMBER(MATCH('ALL 498 CONSOLIDATED NEW'!$G$2:$G$503,Table171314[SCHOOL LIST],0))))</f>
        <v>1</v>
      </c>
      <c r="I7">
        <v>1</v>
      </c>
      <c r="J7">
        <f t="shared" si="1"/>
        <v>0</v>
      </c>
      <c r="K7" t="s">
        <v>443</v>
      </c>
      <c r="L7">
        <v>105101006</v>
      </c>
      <c r="M7" cm="1">
        <f t="array" ref="M7">SUMPRODUCT(('ALL 498 CONSOLIDATED NEW'!$N$2:$N$503=K$1)*(K7='ALL 498 CONSOLIDATED NEW'!$K$2:$M$503)*(ISNUMBER(MATCH('ALL 498 CONSOLIDATED NEW'!$G$2:$G$503,Table171314[SCHOOL LIST],0))))</f>
        <v>0</v>
      </c>
      <c r="N7">
        <v>0</v>
      </c>
      <c r="O7">
        <f t="shared" si="2"/>
        <v>0</v>
      </c>
      <c r="AL7" s="58" t="s">
        <v>50</v>
      </c>
      <c r="AM7">
        <v>4</v>
      </c>
      <c r="AN7" t="s">
        <v>188</v>
      </c>
      <c r="AO7">
        <f>R22/2</f>
        <v>15</v>
      </c>
    </row>
    <row r="8" spans="1:41">
      <c r="A8" t="s">
        <v>110</v>
      </c>
      <c r="B8" t="s">
        <v>1766</v>
      </c>
      <c r="C8" cm="1">
        <f t="array" ref="C8">SUMPRODUCT(('ALL 498 CONSOLIDATED NEW'!$N$2:$N$503=A$1)*(A8='ALL 498 CONSOLIDATED NEW'!$K$2:$M$503)*(ISNUMBER(MATCH('ALL 498 CONSOLIDATED NEW'!$G$2:$G$503,Table171314[SCHOOL LIST],0))))</f>
        <v>2</v>
      </c>
      <c r="D8">
        <v>2</v>
      </c>
      <c r="E8">
        <f t="shared" si="0"/>
        <v>0</v>
      </c>
      <c r="F8" t="s">
        <v>110</v>
      </c>
      <c r="G8" t="s">
        <v>1767</v>
      </c>
      <c r="H8" cm="1">
        <f t="array" ref="H8">SUMPRODUCT(('ALL 498 CONSOLIDATED NEW'!$N$2:$N$503=F$1)*(F8='ALL 498 CONSOLIDATED NEW'!$K$2:$M$503)*(ISNUMBER(MATCH('ALL 498 CONSOLIDATED NEW'!$G$2:$G$503,Table171314[SCHOOL LIST],0))))</f>
        <v>4</v>
      </c>
      <c r="I8">
        <v>4</v>
      </c>
      <c r="J8">
        <f t="shared" si="1"/>
        <v>0</v>
      </c>
      <c r="K8" t="s">
        <v>110</v>
      </c>
      <c r="L8">
        <v>105101007</v>
      </c>
      <c r="M8" cm="1">
        <f t="array" ref="M8">SUMPRODUCT(('ALL 498 CONSOLIDATED NEW'!$N$2:$N$503=K$1)*(K8='ALL 498 CONSOLIDATED NEW'!$K$2:$M$503)*(ISNUMBER(MATCH('ALL 498 CONSOLIDATED NEW'!$G$2:$G$503,Table171314[SCHOOL LIST],0))))</f>
        <v>6</v>
      </c>
      <c r="N8">
        <v>6</v>
      </c>
      <c r="O8">
        <f t="shared" si="2"/>
        <v>0</v>
      </c>
      <c r="AL8" s="76" t="s">
        <v>83</v>
      </c>
      <c r="AM8">
        <v>5</v>
      </c>
      <c r="AN8" t="s">
        <v>16</v>
      </c>
      <c r="AO8">
        <f>W22/2</f>
        <v>18</v>
      </c>
    </row>
    <row r="9" spans="1:41">
      <c r="A9" t="s">
        <v>108</v>
      </c>
      <c r="B9" t="s">
        <v>1768</v>
      </c>
      <c r="C9" cm="1">
        <f t="array" ref="C9">SUMPRODUCT(('ALL 498 CONSOLIDATED NEW'!$N$2:$N$503=A$1)*(A9='ALL 498 CONSOLIDATED NEW'!$K$2:$M$503)*(ISNUMBER(MATCH('ALL 498 CONSOLIDATED NEW'!$G$2:$G$503,Table171314[SCHOOL LIST],0))))</f>
        <v>4</v>
      </c>
      <c r="D9">
        <v>4</v>
      </c>
      <c r="E9">
        <f>C9-D9</f>
        <v>0</v>
      </c>
      <c r="F9" t="s">
        <v>108</v>
      </c>
      <c r="G9" t="s">
        <v>1769</v>
      </c>
      <c r="H9" cm="1">
        <f t="array" ref="H9">SUMPRODUCT(('ALL 498 CONSOLIDATED NEW'!$N$2:$N$503=F$1)*(F9='ALL 498 CONSOLIDATED NEW'!$K$2:$M$503)*(ISNUMBER(MATCH('ALL 498 CONSOLIDATED NEW'!$G$2:$G$503,Table171314[SCHOOL LIST],0))))</f>
        <v>5</v>
      </c>
      <c r="I9">
        <v>5</v>
      </c>
      <c r="J9">
        <f t="shared" si="1"/>
        <v>0</v>
      </c>
      <c r="K9" t="s">
        <v>108</v>
      </c>
      <c r="L9">
        <v>105101008</v>
      </c>
      <c r="M9" cm="1">
        <f t="array" ref="M9">SUMPRODUCT(('ALL 498 CONSOLIDATED NEW'!$N$2:$N$503=K$1)*(K9='ALL 498 CONSOLIDATED NEW'!$K$2:$M$503)*(ISNUMBER(MATCH('ALL 498 CONSOLIDATED NEW'!$G$2:$G$503,Table171314[SCHOOL LIST],0))))</f>
        <v>4</v>
      </c>
      <c r="N9">
        <v>4</v>
      </c>
      <c r="O9">
        <f t="shared" si="2"/>
        <v>0</v>
      </c>
      <c r="AL9" s="58" t="s">
        <v>66</v>
      </c>
      <c r="AM9">
        <v>6</v>
      </c>
      <c r="AN9" t="s">
        <v>122</v>
      </c>
      <c r="AO9">
        <f>AB22</f>
        <v>12</v>
      </c>
    </row>
    <row r="10" spans="1:41">
      <c r="A10" t="s">
        <v>250</v>
      </c>
      <c r="B10" t="s">
        <v>1770</v>
      </c>
      <c r="C10" cm="1">
        <f t="array" ref="C10">SUMPRODUCT(('ALL 498 CONSOLIDATED NEW'!$N$2:$N$503=A$1)*(A10='ALL 498 CONSOLIDATED NEW'!$K$2:$M$503)*(ISNUMBER(MATCH('ALL 498 CONSOLIDATED NEW'!$G$2:$G$503,Table171314[SCHOOL LIST],0))))</f>
        <v>0</v>
      </c>
      <c r="D10">
        <v>0</v>
      </c>
      <c r="E10">
        <f t="shared" si="0"/>
        <v>0</v>
      </c>
      <c r="F10" t="s">
        <v>250</v>
      </c>
      <c r="G10" t="s">
        <v>1771</v>
      </c>
      <c r="H10" cm="1">
        <f t="array" ref="H10">SUMPRODUCT(('ALL 498 CONSOLIDATED NEW'!$N$2:$N$503=F$1)*(F10='ALL 498 CONSOLIDATED NEW'!$K$2:$M$503)*(ISNUMBER(MATCH('ALL 498 CONSOLIDATED NEW'!$G$2:$G$503,Table171314[SCHOOL LIST],0))))</f>
        <v>1</v>
      </c>
      <c r="I10">
        <v>1</v>
      </c>
      <c r="J10">
        <f>H10-I10</f>
        <v>0</v>
      </c>
      <c r="K10" t="s">
        <v>250</v>
      </c>
      <c r="L10">
        <v>105101009</v>
      </c>
      <c r="M10" cm="1">
        <f t="array" ref="M10">SUMPRODUCT(('ALL 498 CONSOLIDATED NEW'!$N$2:$N$503=K$1)*(K10='ALL 498 CONSOLIDATED NEW'!$K$2:$M$503)*(ISNUMBER(MATCH('ALL 498 CONSOLIDATED NEW'!$G$2:$G$503,Table171314[SCHOOL LIST],0))))</f>
        <v>0</v>
      </c>
      <c r="N10">
        <v>0</v>
      </c>
      <c r="O10">
        <f t="shared" si="2"/>
        <v>0</v>
      </c>
      <c r="AL10" s="56"/>
      <c r="AM10">
        <v>7</v>
      </c>
      <c r="AN10" t="s">
        <v>12</v>
      </c>
      <c r="AO10">
        <f>AG22</f>
        <v>8</v>
      </c>
    </row>
    <row r="11" spans="1:41">
      <c r="A11" t="s">
        <v>135</v>
      </c>
      <c r="B11" t="s">
        <v>1772</v>
      </c>
      <c r="C11" cm="1">
        <f t="array" ref="C11">SUMPRODUCT(('ALL 498 CONSOLIDATED NEW'!$N$2:$N$503=A$1)*(A11='ALL 498 CONSOLIDATED NEW'!$K$2:$M$503)*(ISNUMBER(MATCH('ALL 498 CONSOLIDATED NEW'!$G$2:$G$503,Table171314[SCHOOL LIST],0))))</f>
        <v>12</v>
      </c>
      <c r="D11">
        <v>12</v>
      </c>
      <c r="E11">
        <f>C11-D11</f>
        <v>0</v>
      </c>
      <c r="F11" t="s">
        <v>135</v>
      </c>
      <c r="G11" t="s">
        <v>1773</v>
      </c>
      <c r="H11" cm="1">
        <f t="array" ref="H11">SUMPRODUCT(('ALL 498 CONSOLIDATED NEW'!$N$2:$N$503=F$1)*(F11='ALL 498 CONSOLIDATED NEW'!$K$2:$M$503)*(ISNUMBER(MATCH('ALL 498 CONSOLIDATED NEW'!$G$2:$G$503,Table171314[SCHOOL LIST],0))))</f>
        <v>6</v>
      </c>
      <c r="I11">
        <v>6</v>
      </c>
      <c r="J11">
        <f t="shared" si="1"/>
        <v>0</v>
      </c>
      <c r="K11" t="s">
        <v>135</v>
      </c>
      <c r="L11">
        <v>105101010</v>
      </c>
      <c r="M11" cm="1">
        <f t="array" ref="M11">SUMPRODUCT(('ALL 498 CONSOLIDATED NEW'!$N$2:$N$503=K$1)*(K11='ALL 498 CONSOLIDATED NEW'!$K$2:$M$503)*(ISNUMBER(MATCH('ALL 498 CONSOLIDATED NEW'!$G$2:$G$503,Table171314[SCHOOL LIST],0))))</f>
        <v>8</v>
      </c>
      <c r="N11">
        <v>8</v>
      </c>
      <c r="O11">
        <f t="shared" si="2"/>
        <v>0</v>
      </c>
      <c r="AL11" s="56"/>
      <c r="AN11" s="99" t="s">
        <v>1774</v>
      </c>
      <c r="AO11">
        <f>SUM(AO4:AO10)</f>
        <v>96</v>
      </c>
    </row>
    <row r="12" spans="1:41">
      <c r="A12" t="s">
        <v>150</v>
      </c>
      <c r="B12" t="s">
        <v>1775</v>
      </c>
      <c r="C12" cm="1">
        <f t="array" ref="C12">SUMPRODUCT(('ALL 498 CONSOLIDATED NEW'!$N$2:$N$503=A$1)*(A12='ALL 498 CONSOLIDATED NEW'!$K$2:$M$503)*(ISNUMBER(MATCH('ALL 498 CONSOLIDATED NEW'!$G$2:$G$503,Table171314[SCHOOL LIST],0))))</f>
        <v>6</v>
      </c>
      <c r="D12">
        <v>6</v>
      </c>
      <c r="E12">
        <f t="shared" si="0"/>
        <v>0</v>
      </c>
      <c r="F12" t="s">
        <v>150</v>
      </c>
      <c r="G12" t="s">
        <v>1776</v>
      </c>
      <c r="H12" cm="1">
        <f t="array" ref="H12">SUMPRODUCT(('ALL 498 CONSOLIDATED NEW'!$N$2:$N$503=F$1)*(F12='ALL 498 CONSOLIDATED NEW'!$K$2:$M$503)*(ISNUMBER(MATCH('ALL 498 CONSOLIDATED NEW'!$G$2:$G$503,Table171314[SCHOOL LIST],0))))</f>
        <v>3</v>
      </c>
      <c r="I12">
        <v>3</v>
      </c>
      <c r="J12">
        <f t="shared" si="1"/>
        <v>0</v>
      </c>
      <c r="K12" t="s">
        <v>150</v>
      </c>
      <c r="L12">
        <v>105101011</v>
      </c>
      <c r="M12" cm="1">
        <f t="array" ref="M12">SUMPRODUCT(('ALL 498 CONSOLIDATED NEW'!$N$2:$N$503=K$1)*(K12='ALL 498 CONSOLIDATED NEW'!$K$2:$M$503)*(ISNUMBER(MATCH('ALL 498 CONSOLIDATED NEW'!$G$2:$G$503,Table171314[SCHOOL LIST],0))))</f>
        <v>8</v>
      </c>
      <c r="N12">
        <v>8</v>
      </c>
      <c r="O12">
        <f t="shared" si="2"/>
        <v>0</v>
      </c>
      <c r="AL12" s="56"/>
      <c r="AN12" s="99" t="s">
        <v>1777</v>
      </c>
      <c r="AO12">
        <f>SUM(AO4:AO9)</f>
        <v>88</v>
      </c>
    </row>
    <row r="13" spans="1:41">
      <c r="A13" t="s">
        <v>846</v>
      </c>
      <c r="B13" t="s">
        <v>1778</v>
      </c>
      <c r="C13" cm="1">
        <f t="array" ref="C13">SUMPRODUCT(('ALL 498 CONSOLIDATED NEW'!$N$2:$N$503=A$1)*(A13='ALL 498 CONSOLIDATED NEW'!$K$2:$M$503)*(ISNUMBER(MATCH('ALL 498 CONSOLIDATED NEW'!$G$2:$G$503,Table171314[SCHOOL LIST],0))))</f>
        <v>0</v>
      </c>
      <c r="D13">
        <v>0</v>
      </c>
      <c r="E13">
        <f t="shared" si="0"/>
        <v>0</v>
      </c>
      <c r="F13" t="s">
        <v>846</v>
      </c>
      <c r="G13" t="s">
        <v>1779</v>
      </c>
      <c r="H13" cm="1">
        <f t="array" ref="H13">SUMPRODUCT(('ALL 498 CONSOLIDATED NEW'!$N$2:$N$503=F$1)*(F13='ALL 498 CONSOLIDATED NEW'!$K$2:$M$503)*(ISNUMBER(MATCH('ALL 498 CONSOLIDATED NEW'!$G$2:$G$503,Table171314[SCHOOL LIST],0))))</f>
        <v>0</v>
      </c>
      <c r="I13">
        <v>0</v>
      </c>
      <c r="J13">
        <f t="shared" si="1"/>
        <v>0</v>
      </c>
      <c r="K13" t="s">
        <v>846</v>
      </c>
      <c r="L13">
        <v>105101012</v>
      </c>
      <c r="M13" cm="1">
        <f t="array" ref="M13">SUMPRODUCT(('ALL 498 CONSOLIDATED NEW'!$N$2:$N$503=K$1)*(K13='ALL 498 CONSOLIDATED NEW'!$K$2:$M$503)*(ISNUMBER(MATCH('ALL 498 CONSOLIDATED NEW'!$G$2:$G$503,Table171314[SCHOOL LIST],0))))</f>
        <v>1</v>
      </c>
      <c r="N13">
        <v>1</v>
      </c>
      <c r="O13">
        <f t="shared" si="2"/>
        <v>0</v>
      </c>
      <c r="AL13" s="98"/>
    </row>
    <row r="14" spans="1:41">
      <c r="A14" t="s">
        <v>251</v>
      </c>
      <c r="B14" t="s">
        <v>1780</v>
      </c>
      <c r="C14" cm="1">
        <f t="array" ref="C14">SUMPRODUCT(('ALL 498 CONSOLIDATED NEW'!$N$2:$N$503=A$1)*(A14='ALL 498 CONSOLIDATED NEW'!$K$2:$M$503)*(ISNUMBER(MATCH('ALL 498 CONSOLIDATED NEW'!$G$2:$G$503,Table171314[SCHOOL LIST],0))))</f>
        <v>0</v>
      </c>
      <c r="D14">
        <v>0</v>
      </c>
      <c r="E14">
        <f t="shared" si="0"/>
        <v>0</v>
      </c>
      <c r="F14" t="s">
        <v>251</v>
      </c>
      <c r="G14" t="s">
        <v>1781</v>
      </c>
      <c r="H14" cm="1">
        <f t="array" ref="H14">SUMPRODUCT(('ALL 498 CONSOLIDATED NEW'!$N$2:$N$503=F$1)*(F14='ALL 498 CONSOLIDATED NEW'!$K$2:$M$503)*(ISNUMBER(MATCH('ALL 498 CONSOLIDATED NEW'!$G$2:$G$503,Table171314[SCHOOL LIST],0))))</f>
        <v>0</v>
      </c>
      <c r="I14">
        <v>0</v>
      </c>
      <c r="J14">
        <f t="shared" si="1"/>
        <v>0</v>
      </c>
      <c r="K14" t="s">
        <v>251</v>
      </c>
      <c r="L14">
        <v>105101013</v>
      </c>
      <c r="M14" cm="1">
        <f t="array" ref="M14">SUMPRODUCT(('ALL 498 CONSOLIDATED NEW'!$N$2:$N$503=K$1)*(K14='ALL 498 CONSOLIDATED NEW'!$K$2:$M$503)*(ISNUMBER(MATCH('ALL 498 CONSOLIDATED NEW'!$G$2:$G$503,Table171314[SCHOOL LIST],0))))</f>
        <v>0</v>
      </c>
      <c r="N14">
        <v>0</v>
      </c>
      <c r="O14">
        <f t="shared" si="2"/>
        <v>0</v>
      </c>
    </row>
    <row r="15" spans="1:41">
      <c r="A15" t="s">
        <v>136</v>
      </c>
      <c r="B15" t="s">
        <v>1782</v>
      </c>
      <c r="C15" cm="1">
        <f t="array" ref="C15">SUMPRODUCT(('ALL 498 CONSOLIDATED NEW'!$N$2:$N$503=A$1)*(A15='ALL 498 CONSOLIDATED NEW'!$K$2:$M$503)*(ISNUMBER(MATCH('ALL 498 CONSOLIDATED NEW'!$G$2:$G$503,Table171314[SCHOOL LIST],0))))</f>
        <v>12</v>
      </c>
      <c r="D15">
        <v>12</v>
      </c>
      <c r="E15">
        <f t="shared" si="0"/>
        <v>0</v>
      </c>
      <c r="F15" t="s">
        <v>136</v>
      </c>
      <c r="G15" t="s">
        <v>1783</v>
      </c>
      <c r="H15" cm="1">
        <f t="array" ref="H15">SUMPRODUCT(('ALL 498 CONSOLIDATED NEW'!$N$2:$N$503=F$1)*(F15='ALL 498 CONSOLIDATED NEW'!$K$2:$M$503)*(ISNUMBER(MATCH('ALL 498 CONSOLIDATED NEW'!$G$2:$G$503,Table171314[SCHOOL LIST],0))))</f>
        <v>6</v>
      </c>
      <c r="I15">
        <v>6</v>
      </c>
      <c r="J15">
        <f t="shared" si="1"/>
        <v>0</v>
      </c>
      <c r="K15" t="s">
        <v>136</v>
      </c>
      <c r="L15">
        <v>105101014</v>
      </c>
      <c r="M15" cm="1">
        <f t="array" ref="M15">SUMPRODUCT(('ALL 498 CONSOLIDATED NEW'!$N$2:$N$503=K$1)*(K15='ALL 498 CONSOLIDATED NEW'!$K$2:$M$503)*(ISNUMBER(MATCH('ALL 498 CONSOLIDATED NEW'!$G$2:$G$503,Table171314[SCHOOL LIST],0))))</f>
        <v>12</v>
      </c>
      <c r="N15">
        <v>12</v>
      </c>
      <c r="O15">
        <f t="shared" si="2"/>
        <v>0</v>
      </c>
    </row>
    <row r="16" spans="1:41">
      <c r="A16" t="s">
        <v>198</v>
      </c>
      <c r="B16" t="s">
        <v>1784</v>
      </c>
      <c r="C16" cm="1">
        <f t="array" ref="C16">SUMPRODUCT(('ALL 498 CONSOLIDATED NEW'!$N$2:$N$503=A$1)*(A16='ALL 498 CONSOLIDATED NEW'!$K$2:$M$503)*(ISNUMBER(MATCH('ALL 498 CONSOLIDATED NEW'!$G$2:$G$503,Table171314[SCHOOL LIST],0))))</f>
        <v>2</v>
      </c>
      <c r="D16">
        <v>2</v>
      </c>
      <c r="E16">
        <f t="shared" si="0"/>
        <v>0</v>
      </c>
      <c r="F16" t="s">
        <v>198</v>
      </c>
      <c r="G16" t="s">
        <v>1785</v>
      </c>
      <c r="H16" cm="1">
        <f t="array" ref="H16">SUMPRODUCT(('ALL 498 CONSOLIDATED NEW'!$N$2:$N$503=F$1)*(F16='ALL 498 CONSOLIDATED NEW'!$K$2:$M$503)*(ISNUMBER(MATCH('ALL 498 CONSOLIDATED NEW'!$G$2:$G$503,Table171314[SCHOOL LIST],0))))</f>
        <v>1</v>
      </c>
      <c r="I16">
        <v>1</v>
      </c>
      <c r="J16">
        <f t="shared" si="1"/>
        <v>0</v>
      </c>
      <c r="K16" t="s">
        <v>198</v>
      </c>
      <c r="L16">
        <v>105101015</v>
      </c>
      <c r="M16" cm="1">
        <f t="array" ref="M16">SUMPRODUCT(('ALL 498 CONSOLIDATED NEW'!$N$2:$N$503=K$1)*(K16='ALL 498 CONSOLIDATED NEW'!$K$2:$M$503)*(ISNUMBER(MATCH('ALL 498 CONSOLIDATED NEW'!$G$2:$G$503,Table171314[SCHOOL LIST],0))))</f>
        <v>0</v>
      </c>
      <c r="N16">
        <v>0</v>
      </c>
      <c r="O16">
        <f t="shared" si="2"/>
        <v>0</v>
      </c>
    </row>
    <row r="17" spans="1:37">
      <c r="A17" t="s">
        <v>200</v>
      </c>
      <c r="B17" t="s">
        <v>1786</v>
      </c>
      <c r="C17" cm="1">
        <f t="array" ref="C17">SUMPRODUCT(('ALL 498 CONSOLIDATED NEW'!$N$2:$N$503=A$1)*(A17='ALL 498 CONSOLIDATED NEW'!$K$2:$M$503)*(ISNUMBER(MATCH('ALL 498 CONSOLIDATED NEW'!$G$2:$G$503,Table171314[SCHOOL LIST],0))))</f>
        <v>0</v>
      </c>
      <c r="D17">
        <v>0</v>
      </c>
      <c r="E17">
        <f t="shared" si="0"/>
        <v>0</v>
      </c>
      <c r="F17" t="s">
        <v>200</v>
      </c>
      <c r="G17" t="s">
        <v>1787</v>
      </c>
      <c r="H17" cm="1">
        <f t="array" ref="H17">SUMPRODUCT(('ALL 498 CONSOLIDATED NEW'!$N$2:$N$503=F$1)*(F17='ALL 498 CONSOLIDATED NEW'!$K$2:$M$503)*(ISNUMBER(MATCH('ALL 498 CONSOLIDATED NEW'!$G$2:$G$503,Table171314[SCHOOL LIST],0))))</f>
        <v>0</v>
      </c>
      <c r="I17">
        <v>0</v>
      </c>
      <c r="J17">
        <f t="shared" si="1"/>
        <v>0</v>
      </c>
      <c r="K17" t="s">
        <v>200</v>
      </c>
      <c r="L17">
        <v>105101016</v>
      </c>
      <c r="M17" cm="1">
        <f t="array" ref="M17">SUMPRODUCT(('ALL 498 CONSOLIDATED NEW'!$N$2:$N$503=K$1)*(K17='ALL 498 CONSOLIDATED NEW'!$K$2:$M$503)*(ISNUMBER(MATCH('ALL 498 CONSOLIDATED NEW'!$G$2:$G$503,Table171314[SCHOOL LIST],0))))</f>
        <v>2</v>
      </c>
      <c r="N17">
        <v>2</v>
      </c>
      <c r="O17">
        <f t="shared" si="2"/>
        <v>0</v>
      </c>
    </row>
    <row r="18" spans="1:37">
      <c r="A18" t="s">
        <v>1788</v>
      </c>
      <c r="B18" t="s">
        <v>1789</v>
      </c>
      <c r="C18" cm="1">
        <f t="array" ref="C18">SUMPRODUCT(('ALL 498 CONSOLIDATED NEW'!$N$2:$N$503=A$1)*(A18='ALL 498 CONSOLIDATED NEW'!$K$2:$M$503)*(ISNUMBER(MATCH('ALL 498 CONSOLIDATED NEW'!$G$2:$G$503,Table171314[SCHOOL LIST],0))))</f>
        <v>0</v>
      </c>
      <c r="D18">
        <v>0</v>
      </c>
      <c r="E18">
        <f t="shared" si="0"/>
        <v>0</v>
      </c>
      <c r="F18" t="s">
        <v>1788</v>
      </c>
      <c r="G18" t="s">
        <v>1790</v>
      </c>
      <c r="H18" cm="1">
        <f t="array" ref="H18">SUMPRODUCT(('ALL 498 CONSOLIDATED NEW'!$N$2:$N$503=F$1)*(F18='ALL 498 CONSOLIDATED NEW'!$K$2:$M$503)*(ISNUMBER(MATCH('ALL 498 CONSOLIDATED NEW'!$G$2:$G$503,Table171314[SCHOOL LIST],0))))</f>
        <v>0</v>
      </c>
      <c r="I18">
        <v>0</v>
      </c>
      <c r="J18">
        <f t="shared" si="1"/>
        <v>0</v>
      </c>
      <c r="K18" t="s">
        <v>1788</v>
      </c>
      <c r="L18">
        <v>105101017</v>
      </c>
      <c r="M18" cm="1">
        <f t="array" ref="M18">SUMPRODUCT(('ALL 498 CONSOLIDATED NEW'!$N$2:$N$503=K$1)*(K18='ALL 498 CONSOLIDATED NEW'!$K$2:$M$503)*(ISNUMBER(MATCH('ALL 498 CONSOLIDATED NEW'!$G$2:$G$503,Table171314[SCHOOL LIST],0))))</f>
        <v>0</v>
      </c>
      <c r="N18">
        <v>0</v>
      </c>
      <c r="O18">
        <f t="shared" si="2"/>
        <v>0</v>
      </c>
    </row>
    <row r="19" spans="1:37">
      <c r="A19" t="s">
        <v>315</v>
      </c>
      <c r="B19" t="s">
        <v>1791</v>
      </c>
      <c r="C19" cm="1">
        <f t="array" ref="C19">SUMPRODUCT(('ALL 498 CONSOLIDATED NEW'!$N$2:$N$503=A$1)*(A19='ALL 498 CONSOLIDATED NEW'!$K$2:$M$503)*(ISNUMBER(MATCH('ALL 498 CONSOLIDATED NEW'!$G$2:$G$503,Table171314[SCHOOL LIST],0))))</f>
        <v>0</v>
      </c>
      <c r="D19">
        <v>0</v>
      </c>
      <c r="E19">
        <f t="shared" si="0"/>
        <v>0</v>
      </c>
      <c r="F19" t="s">
        <v>315</v>
      </c>
      <c r="G19" t="s">
        <v>1792</v>
      </c>
      <c r="H19" cm="1">
        <f t="array" ref="H19">SUMPRODUCT(('ALL 498 CONSOLIDATED NEW'!$N$2:$N$503=F$1)*(F19='ALL 498 CONSOLIDATED NEW'!$K$2:$M$503)*(ISNUMBER(MATCH('ALL 498 CONSOLIDATED NEW'!$G$2:$G$503,Table171314[SCHOOL LIST],0))))</f>
        <v>1</v>
      </c>
      <c r="I19">
        <v>1</v>
      </c>
      <c r="J19">
        <f t="shared" si="1"/>
        <v>0</v>
      </c>
      <c r="K19" t="s">
        <v>315</v>
      </c>
      <c r="L19">
        <v>105101018</v>
      </c>
      <c r="M19" cm="1">
        <f t="array" ref="M19">SUMPRODUCT(('ALL 498 CONSOLIDATED NEW'!$N$2:$N$503=K$1)*(K19='ALL 498 CONSOLIDATED NEW'!$K$2:$M$503)*(ISNUMBER(MATCH('ALL 498 CONSOLIDATED NEW'!$G$2:$G$503,Table171314[SCHOOL LIST],0))))</f>
        <v>2</v>
      </c>
      <c r="N19">
        <v>2</v>
      </c>
      <c r="O19">
        <f t="shared" si="2"/>
        <v>0</v>
      </c>
    </row>
    <row r="20" spans="1:37">
      <c r="A20" t="s">
        <v>199</v>
      </c>
      <c r="B20" t="s">
        <v>1793</v>
      </c>
      <c r="C20" cm="1">
        <f t="array" ref="C20">SUMPRODUCT(('ALL 498 CONSOLIDATED NEW'!$N$2:$N$503=A$1)*(A20='ALL 498 CONSOLIDATED NEW'!$K$2:$M$503)*(ISNUMBER(MATCH('ALL 498 CONSOLIDATED NEW'!$G$2:$G$503,Table171314[SCHOOL LIST],0))))</f>
        <v>0</v>
      </c>
      <c r="D20">
        <v>0</v>
      </c>
      <c r="E20">
        <f t="shared" si="0"/>
        <v>0</v>
      </c>
      <c r="F20" t="s">
        <v>199</v>
      </c>
      <c r="G20" t="s">
        <v>1794</v>
      </c>
      <c r="H20" cm="1">
        <f t="array" ref="H20">SUMPRODUCT(('ALL 498 CONSOLIDATED NEW'!$N$2:$N$503=F$1)*(F20='ALL 498 CONSOLIDATED NEW'!$K$2:$M$503)*(ISNUMBER(MATCH('ALL 498 CONSOLIDATED NEW'!$G$2:$G$503,Table171314[SCHOOL LIST],0))))</f>
        <v>0</v>
      </c>
      <c r="I20">
        <v>0</v>
      </c>
      <c r="J20">
        <f t="shared" si="1"/>
        <v>0</v>
      </c>
      <c r="K20" t="s">
        <v>199</v>
      </c>
      <c r="L20">
        <v>105101019</v>
      </c>
      <c r="M20" cm="1">
        <f t="array" ref="M20">SUMPRODUCT(('ALL 498 CONSOLIDATED NEW'!$N$2:$N$503=K$1)*(K20='ALL 498 CONSOLIDATED NEW'!$K$2:$M$503)*(ISNUMBER(MATCH('ALL 498 CONSOLIDATED NEW'!$G$2:$G$503,Table171314[SCHOOL LIST],0))))</f>
        <v>0</v>
      </c>
      <c r="N20">
        <v>0</v>
      </c>
      <c r="O20">
        <f t="shared" si="2"/>
        <v>0</v>
      </c>
    </row>
    <row r="21" spans="1:37">
      <c r="A21" t="s">
        <v>635</v>
      </c>
      <c r="B21" t="s">
        <v>1795</v>
      </c>
      <c r="C21" cm="1">
        <f t="array" ref="C21">SUMPRODUCT(('ALL 498 CONSOLIDATED NEW'!$N$2:$N$503=A$1)*(A21='ALL 498 CONSOLIDATED NEW'!$K$2:$M$503)*(ISNUMBER(MATCH('ALL 498 CONSOLIDATED NEW'!$G$2:$G$503,Table171314[SCHOOL LIST],0))))</f>
        <v>0</v>
      </c>
      <c r="D21">
        <v>0</v>
      </c>
      <c r="E21">
        <f t="shared" si="0"/>
        <v>0</v>
      </c>
      <c r="F21" t="s">
        <v>635</v>
      </c>
      <c r="G21" t="s">
        <v>1796</v>
      </c>
      <c r="H21" cm="1">
        <f t="array" ref="H21">SUMPRODUCT(('ALL 498 CONSOLIDATED NEW'!$N$2:$N$503=F$1)*(F21='ALL 498 CONSOLIDATED NEW'!$K$2:$M$503)*(ISNUMBER(MATCH('ALL 498 CONSOLIDATED NEW'!$G$2:$G$503,Table171314[SCHOOL LIST],0))))</f>
        <v>1</v>
      </c>
      <c r="I21">
        <v>1</v>
      </c>
      <c r="J21">
        <f t="shared" si="1"/>
        <v>0</v>
      </c>
      <c r="K21" t="s">
        <v>635</v>
      </c>
      <c r="L21">
        <v>105101020</v>
      </c>
      <c r="M21" cm="1">
        <f t="array" ref="M21">SUMPRODUCT(('ALL 498 CONSOLIDATED NEW'!$N$2:$N$503=K$1)*(K21='ALL 498 CONSOLIDATED NEW'!$K$2:$M$503)*(ISNUMBER(MATCH('ALL 498 CONSOLIDATED NEW'!$G$2:$G$503,Table171314[SCHOOL LIST],0))))</f>
        <v>3</v>
      </c>
      <c r="N21">
        <v>3</v>
      </c>
      <c r="O21">
        <f t="shared" si="2"/>
        <v>0</v>
      </c>
    </row>
    <row r="22" spans="1:37" s="20" customFormat="1" ht="30.75">
      <c r="B22" s="20" t="str">
        <f>A1</f>
        <v>Palm Pen Holder</v>
      </c>
      <c r="C22" s="20">
        <f>SUM(C2:C21)</f>
        <v>42</v>
      </c>
      <c r="D22">
        <f>SUM(D2:D21)</f>
        <v>42</v>
      </c>
      <c r="E22">
        <f t="shared" si="0"/>
        <v>0</v>
      </c>
      <c r="G22" s="20" t="str">
        <f>F1</f>
        <v>TOOTH  BRUSH ADAPTER</v>
      </c>
      <c r="H22" s="20">
        <f>SUM(H2:H21)</f>
        <v>33</v>
      </c>
      <c r="I22" s="20">
        <f>SUM(I2:I21)</f>
        <v>33</v>
      </c>
      <c r="J22">
        <f t="shared" si="1"/>
        <v>0</v>
      </c>
      <c r="L22" s="20" t="str">
        <f>K1</f>
        <v>Utensil Holder</v>
      </c>
      <c r="M22" s="20">
        <f>SUM(M2:M21)</f>
        <v>54</v>
      </c>
      <c r="N22" s="20">
        <f>SUM(N2:N21)</f>
        <v>54</v>
      </c>
      <c r="O22">
        <f t="shared" si="2"/>
        <v>0</v>
      </c>
      <c r="Q22" s="20" t="str">
        <f>P1</f>
        <v>Reading Bar - Curved</v>
      </c>
      <c r="R22" s="20">
        <f>SUM(R2:R21)</f>
        <v>30</v>
      </c>
      <c r="S22" s="20">
        <f>SUM(S2:S3)</f>
        <v>30</v>
      </c>
      <c r="T22">
        <f t="shared" ref="T22" si="3">R22-S22</f>
        <v>0</v>
      </c>
      <c r="V22" s="20" t="str">
        <f>U1</f>
        <v>Assistive Pencil Grip</v>
      </c>
      <c r="W22" s="20">
        <f>SUM(W2:W21)</f>
        <v>36</v>
      </c>
      <c r="X22" s="20">
        <f>SUM(X2:X3)</f>
        <v>36</v>
      </c>
      <c r="Y22" s="20">
        <f t="shared" ref="Y22" si="4">W22-X22</f>
        <v>0</v>
      </c>
      <c r="AA22" s="20" t="str">
        <f>Z1</f>
        <v>Button Aid</v>
      </c>
      <c r="AB22" s="20">
        <f>SUM(AB2:AB21)</f>
        <v>12</v>
      </c>
      <c r="AC22" s="20">
        <v>12</v>
      </c>
      <c r="AD22" s="20">
        <f t="shared" ref="AD22" si="5">AB22-AC22</f>
        <v>0</v>
      </c>
      <c r="AF22" s="20" t="str">
        <f>AE1</f>
        <v>LOW PROFILE SWITCH</v>
      </c>
      <c r="AG22" s="20">
        <f>SUM(AG2:AG21)</f>
        <v>8</v>
      </c>
      <c r="AH22" s="20">
        <f>SUM(AH2:AH3)</f>
        <v>0</v>
      </c>
      <c r="AI22" s="20">
        <f t="shared" ref="AI22" si="6">AG22-AH22</f>
        <v>8</v>
      </c>
      <c r="AJ22" s="20">
        <f>SUM(AG22,C22,H22,M22,R22,W22,AB22)</f>
        <v>215</v>
      </c>
      <c r="AK22" s="20" t="s">
        <v>1774</v>
      </c>
    </row>
    <row r="23" spans="1:37">
      <c r="AJ23">
        <f>SUM(C22,H22,M22,R22,W22,AB22)</f>
        <v>207</v>
      </c>
      <c r="AK23" t="s">
        <v>1797</v>
      </c>
    </row>
    <row r="24" spans="1:37">
      <c r="AJ24" s="114">
        <f>SUM(E22,J22,O22,T22,Y22,AD22)</f>
        <v>0</v>
      </c>
      <c r="AK24" s="113" t="s">
        <v>1798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5DD6-E682-429E-AE20-EA517D8868DE}">
  <dimension ref="A1:AO24"/>
  <sheetViews>
    <sheetView workbookViewId="0">
      <pane ySplit="1" topLeftCell="AC16" activePane="bottomLeft" state="frozen"/>
      <selection pane="bottomLeft" activeCell="AC23" sqref="AC23"/>
    </sheetView>
  </sheetViews>
  <sheetFormatPr defaultRowHeight="15"/>
  <cols>
    <col min="2" max="2" width="10" customWidth="1"/>
    <col min="3" max="5" width="4.42578125" customWidth="1"/>
    <col min="7" max="7" width="10.140625" customWidth="1"/>
    <col min="8" max="10" width="5.28515625" customWidth="1"/>
    <col min="12" max="12" width="10.85546875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 ht="45.75">
      <c r="A1" s="20" t="s">
        <v>111</v>
      </c>
      <c r="C1" s="20" t="s">
        <v>1747</v>
      </c>
      <c r="D1" s="20" t="s">
        <v>1748</v>
      </c>
      <c r="E1" s="20" t="s">
        <v>1749</v>
      </c>
      <c r="F1" s="20" t="s">
        <v>162</v>
      </c>
      <c r="H1" s="20" t="s">
        <v>1747</v>
      </c>
      <c r="I1" s="20" t="s">
        <v>1748</v>
      </c>
      <c r="J1" s="20" t="s">
        <v>1749</v>
      </c>
      <c r="K1" s="20" t="s">
        <v>117</v>
      </c>
      <c r="M1" s="20" t="s">
        <v>1747</v>
      </c>
      <c r="N1" s="20" t="s">
        <v>1748</v>
      </c>
      <c r="O1" s="20" t="s">
        <v>1749</v>
      </c>
      <c r="P1" s="20" t="s">
        <v>188</v>
      </c>
      <c r="R1" s="20" t="s">
        <v>1747</v>
      </c>
      <c r="S1" s="20" t="s">
        <v>1748</v>
      </c>
      <c r="T1" s="20" t="s">
        <v>1749</v>
      </c>
      <c r="U1" s="20" t="s">
        <v>16</v>
      </c>
      <c r="W1" s="20" t="s">
        <v>1747</v>
      </c>
      <c r="X1" s="20" t="s">
        <v>1748</v>
      </c>
      <c r="Y1" s="20" t="s">
        <v>1749</v>
      </c>
      <c r="Z1" s="20" t="s">
        <v>122</v>
      </c>
      <c r="AB1" s="20" t="s">
        <v>1747</v>
      </c>
      <c r="AC1" s="20" t="s">
        <v>1748</v>
      </c>
      <c r="AD1" s="20" t="s">
        <v>1749</v>
      </c>
      <c r="AE1" s="20" t="s">
        <v>12</v>
      </c>
      <c r="AG1" s="20" t="s">
        <v>1747</v>
      </c>
      <c r="AH1" s="20" t="s">
        <v>1748</v>
      </c>
      <c r="AI1" s="20" t="s">
        <v>1749</v>
      </c>
      <c r="AL1" t="s">
        <v>1750</v>
      </c>
    </row>
    <row r="2" spans="1:41">
      <c r="A2" t="s">
        <v>116</v>
      </c>
      <c r="B2" t="s">
        <v>1751</v>
      </c>
      <c r="C2" cm="1">
        <f t="array" ref="C2">SUMPRODUCT(('ALL 498 CONSOLIDATED NEW'!$N$2:$N$503=A$1)*(A2='ALL 498 CONSOLIDATED NEW'!$K$2:$M$503)*(ISNUMBER(MATCH('ALL 498 CONSOLIDATED NEW'!$G$2:$G$503,Table1713141118[SCHOOL LIST],0))))</f>
        <v>0</v>
      </c>
      <c r="D2">
        <v>0</v>
      </c>
      <c r="E2">
        <f>C2-D2</f>
        <v>0</v>
      </c>
      <c r="F2" t="s">
        <v>116</v>
      </c>
      <c r="G2" t="s">
        <v>1752</v>
      </c>
      <c r="H2" cm="1">
        <f t="array" ref="H2">SUMPRODUCT(('ALL 498 CONSOLIDATED NEW'!$N$2:$N$503=F$1)*(F2='ALL 498 CONSOLIDATED NEW'!$K$2:$M$503)*(ISNUMBER(MATCH('ALL 498 CONSOLIDATED NEW'!$G$2:$G$503,Table1713141118[SCHOOL LIST],0))))</f>
        <v>0</v>
      </c>
      <c r="I2">
        <v>0</v>
      </c>
      <c r="J2">
        <f>H2-I2</f>
        <v>0</v>
      </c>
      <c r="K2" t="s">
        <v>116</v>
      </c>
      <c r="L2">
        <v>105101001</v>
      </c>
      <c r="M2" cm="1">
        <f t="array" ref="M2">SUMPRODUCT(('ALL 498 CONSOLIDATED NEW'!$N$2:$N$503=K$1)*(K2='ALL 498 CONSOLIDATED NEW'!$K$2:$M$503)*(ISNUMBER(MATCH('ALL 498 CONSOLIDATED NEW'!$G$2:$G$503,Table1713141118[SCHOOL LIST],0))))</f>
        <v>3</v>
      </c>
      <c r="N2">
        <v>3</v>
      </c>
      <c r="O2">
        <f>M2-N2</f>
        <v>0</v>
      </c>
      <c r="P2" t="s">
        <v>186</v>
      </c>
      <c r="Q2">
        <v>302202001</v>
      </c>
      <c r="R2" cm="1">
        <f t="array" ref="R2">SUMPRODUCT(('ALL 498 CONSOLIDATED NEW'!$N$2:$N$503=P$1)*(P2='ALL 498 CONSOLIDATED NEW'!$K$2:$M$503)*(ISNUMBER(MATCH('ALL 498 CONSOLIDATED NEW'!$G$2:$G$503,Table1713141118[SCHOOL LIST],0))))</f>
        <v>10</v>
      </c>
      <c r="S2">
        <v>10</v>
      </c>
      <c r="T2">
        <f>R2-S2</f>
        <v>0</v>
      </c>
      <c r="U2" t="s">
        <v>1313</v>
      </c>
      <c r="V2">
        <v>301201999</v>
      </c>
      <c r="W2" cm="1">
        <f t="array" ref="W2">SUMPRODUCT(('ALL 498 CONSOLIDATED NEW'!$N$2:$N$503=U$1)*(U2='ALL 498 CONSOLIDATED NEW'!$K$2:$M$503)*(ISNUMBER(MATCH('ALL 498 CONSOLIDATED NEW'!$G$2:$G$503,Table1713141118[SCHOOL LIST],0))))</f>
        <v>36</v>
      </c>
      <c r="X2">
        <v>36</v>
      </c>
      <c r="Y2">
        <f>W2-X2</f>
        <v>0</v>
      </c>
      <c r="Z2" t="s">
        <v>1321</v>
      </c>
      <c r="AA2">
        <v>104104009</v>
      </c>
      <c r="AB2" cm="1">
        <f t="array" ref="AB2">SUMPRODUCT(('ALL 498 CONSOLIDATED NEW'!$N$2:$N$503=Z$1)*(Z2='ALL 498 CONSOLIDATED NEW'!$K$2:$M$503)*(ISNUMBER(MATCH('ALL 498 CONSOLIDATED NEW'!$G$2:$G$503,Table1713141118[SCHOOL LIST],0))))</f>
        <v>10</v>
      </c>
      <c r="AC2">
        <v>0</v>
      </c>
      <c r="AD2">
        <f>AB2-AC2</f>
        <v>10</v>
      </c>
      <c r="AE2" t="s">
        <v>1365</v>
      </c>
      <c r="AF2">
        <v>204301999</v>
      </c>
      <c r="AG2" cm="1">
        <f t="array" ref="AG2">SUMPRODUCT(('ALL 498 CONSOLIDATED NEW'!$N$2:$N$503=AE$1)*(AE2='ALL 498 CONSOLIDATED NEW'!$K$2:$M$503)*(ISNUMBER(MATCH('ALL 498 CONSOLIDATED NEW'!$G$2:$G$503,Table1713141118[SCHOOL LIST],0))))</f>
        <v>5</v>
      </c>
      <c r="AH2">
        <v>0</v>
      </c>
      <c r="AI2">
        <f>AG2-AH2</f>
        <v>5</v>
      </c>
      <c r="AL2" s="56" t="s">
        <v>64</v>
      </c>
    </row>
    <row r="3" spans="1:41">
      <c r="A3" t="s">
        <v>1753</v>
      </c>
      <c r="B3" t="s">
        <v>1754</v>
      </c>
      <c r="C3" cm="1">
        <f t="array" ref="C3">SUMPRODUCT(('ALL 498 CONSOLIDATED NEW'!$N$2:$N$503=A$1)*(A3='ALL 498 CONSOLIDATED NEW'!$K$2:$M$503)*(ISNUMBER(MATCH('ALL 498 CONSOLIDATED NEW'!$G$2:$G$503,Table1713141118[SCHOOL LIST],0))))</f>
        <v>0</v>
      </c>
      <c r="D3">
        <v>0</v>
      </c>
      <c r="E3">
        <f t="shared" ref="E3:E22" si="0">C3-D3</f>
        <v>0</v>
      </c>
      <c r="F3" t="s">
        <v>1753</v>
      </c>
      <c r="G3" t="s">
        <v>1755</v>
      </c>
      <c r="H3" cm="1">
        <f t="array" ref="H3">SUMPRODUCT(('ALL 498 CONSOLIDATED NEW'!$N$2:$N$503=F$1)*(F3='ALL 498 CONSOLIDATED NEW'!$K$2:$M$503)*(ISNUMBER(MATCH('ALL 498 CONSOLIDATED NEW'!$G$2:$G$503,Table1713141118[SCHOOL LIST],0))))</f>
        <v>0</v>
      </c>
      <c r="I3">
        <v>0</v>
      </c>
      <c r="J3">
        <f t="shared" ref="J3:J22" si="1">H3-I3</f>
        <v>0</v>
      </c>
      <c r="K3" t="s">
        <v>1753</v>
      </c>
      <c r="L3">
        <v>105101002</v>
      </c>
      <c r="M3" cm="1">
        <f t="array" ref="M3">SUMPRODUCT(('ALL 498 CONSOLIDATED NEW'!$N$2:$N$503=K$1)*(K3='ALL 498 CONSOLIDATED NEW'!$K$2:$M$503)*(ISNUMBER(MATCH('ALL 498 CONSOLIDATED NEW'!$G$2:$G$503,Table1713141118[SCHOOL LIST],0))))</f>
        <v>0</v>
      </c>
      <c r="N3">
        <v>0</v>
      </c>
      <c r="O3">
        <f t="shared" ref="O3:O22" si="2">M3-N3</f>
        <v>0</v>
      </c>
      <c r="P3" t="s">
        <v>187</v>
      </c>
      <c r="Q3" t="s">
        <v>1756</v>
      </c>
      <c r="R3" cm="1">
        <f t="array" ref="R3">SUMPRODUCT(('ALL 498 CONSOLIDATED NEW'!$N$2:$N$503=P$1)*(P3='ALL 498 CONSOLIDATED NEW'!$K$2:$M$503)*(ISNUMBER(MATCH('ALL 498 CONSOLIDATED NEW'!$G$2:$G$503,Table1713141118[SCHOOL LIST],0))))</f>
        <v>10</v>
      </c>
      <c r="S3">
        <v>10</v>
      </c>
      <c r="T3">
        <f>R3-S3</f>
        <v>0</v>
      </c>
      <c r="AL3" s="56" t="s">
        <v>61</v>
      </c>
      <c r="AM3" t="s">
        <v>1291</v>
      </c>
      <c r="AN3" t="s">
        <v>1304</v>
      </c>
      <c r="AO3" t="s">
        <v>1293</v>
      </c>
    </row>
    <row r="4" spans="1:41">
      <c r="A4" t="s">
        <v>109</v>
      </c>
      <c r="B4" t="s">
        <v>1757</v>
      </c>
      <c r="C4" cm="1">
        <f t="array" ref="C4">SUMPRODUCT(('ALL 498 CONSOLIDATED NEW'!$N$2:$N$503=A$1)*(A4='ALL 498 CONSOLIDATED NEW'!$K$2:$M$503)*(ISNUMBER(MATCH('ALL 498 CONSOLIDATED NEW'!$G$2:$G$503,Table1713141118[SCHOOL LIST],0))))</f>
        <v>2</v>
      </c>
      <c r="D4">
        <v>2</v>
      </c>
      <c r="E4">
        <f t="shared" si="0"/>
        <v>0</v>
      </c>
      <c r="F4" t="s">
        <v>109</v>
      </c>
      <c r="G4" t="s">
        <v>1758</v>
      </c>
      <c r="H4" cm="1">
        <f t="array" ref="H4">SUMPRODUCT(('ALL 498 CONSOLIDATED NEW'!$N$2:$N$503=F$1)*(F4='ALL 498 CONSOLIDATED NEW'!$K$2:$M$503)*(ISNUMBER(MATCH('ALL 498 CONSOLIDATED NEW'!$G$2:$G$503,Table1713141118[SCHOOL LIST],0))))</f>
        <v>2</v>
      </c>
      <c r="I4">
        <v>2</v>
      </c>
      <c r="J4">
        <f t="shared" si="1"/>
        <v>0</v>
      </c>
      <c r="K4" t="s">
        <v>109</v>
      </c>
      <c r="L4">
        <v>105101003</v>
      </c>
      <c r="M4" cm="1">
        <f t="array" ref="M4">SUMPRODUCT(('ALL 498 CONSOLIDATED NEW'!$N$2:$N$503=K$1)*(K4='ALL 498 CONSOLIDATED NEW'!$K$2:$M$503)*(ISNUMBER(MATCH('ALL 498 CONSOLIDATED NEW'!$G$2:$G$503,Table1713141118[SCHOOL LIST],0))))</f>
        <v>4</v>
      </c>
      <c r="N4">
        <v>4</v>
      </c>
      <c r="O4">
        <f t="shared" si="2"/>
        <v>0</v>
      </c>
      <c r="AL4" s="56" t="s">
        <v>79</v>
      </c>
      <c r="AM4">
        <v>1</v>
      </c>
      <c r="AN4" t="s">
        <v>111</v>
      </c>
      <c r="AO4">
        <f>C22/3</f>
        <v>30</v>
      </c>
    </row>
    <row r="5" spans="1:41">
      <c r="A5" t="s">
        <v>1759</v>
      </c>
      <c r="B5" t="s">
        <v>1760</v>
      </c>
      <c r="C5" cm="1">
        <f t="array" ref="C5">SUMPRODUCT(('ALL 498 CONSOLIDATED NEW'!$N$2:$N$503=A$1)*(A5='ALL 498 CONSOLIDATED NEW'!$K$2:$M$503)*(ISNUMBER(MATCH('ALL 498 CONSOLIDATED NEW'!$G$2:$G$503,Table1713141118[SCHOOL LIST],0))))</f>
        <v>0</v>
      </c>
      <c r="D5">
        <v>0</v>
      </c>
      <c r="E5">
        <f t="shared" si="0"/>
        <v>0</v>
      </c>
      <c r="F5" t="s">
        <v>1759</v>
      </c>
      <c r="G5" t="s">
        <v>1761</v>
      </c>
      <c r="H5" cm="1">
        <f t="array" ref="H5">SUMPRODUCT(('ALL 498 CONSOLIDATED NEW'!$N$2:$N$503=F$1)*(F5='ALL 498 CONSOLIDATED NEW'!$K$2:$M$503)*(ISNUMBER(MATCH('ALL 498 CONSOLIDATED NEW'!$G$2:$G$503,Table1713141118[SCHOOL LIST],0))))</f>
        <v>0</v>
      </c>
      <c r="I5">
        <v>0</v>
      </c>
      <c r="J5">
        <f t="shared" si="1"/>
        <v>0</v>
      </c>
      <c r="K5" t="s">
        <v>1759</v>
      </c>
      <c r="L5">
        <v>105101004</v>
      </c>
      <c r="M5" cm="1">
        <f t="array" ref="M5">SUMPRODUCT(('ALL 498 CONSOLIDATED NEW'!$N$2:$N$503=K$1)*(K5='ALL 498 CONSOLIDATED NEW'!$K$2:$M$503)*(ISNUMBER(MATCH('ALL 498 CONSOLIDATED NEW'!$G$2:$G$503,Table1713141118[SCHOOL LIST],0))))</f>
        <v>0</v>
      </c>
      <c r="N5">
        <v>0</v>
      </c>
      <c r="O5">
        <f t="shared" si="2"/>
        <v>0</v>
      </c>
      <c r="AL5" s="56" t="s">
        <v>43</v>
      </c>
      <c r="AM5">
        <v>2</v>
      </c>
      <c r="AN5" t="s">
        <v>162</v>
      </c>
      <c r="AO5">
        <f>H22/3</f>
        <v>21</v>
      </c>
    </row>
    <row r="6" spans="1:41">
      <c r="A6" t="s">
        <v>130</v>
      </c>
      <c r="B6" t="s">
        <v>1762</v>
      </c>
      <c r="C6" cm="1">
        <f t="array" ref="C6">SUMPRODUCT(('ALL 498 CONSOLIDATED NEW'!$N$2:$N$503=A$1)*(A6='ALL 498 CONSOLIDATED NEW'!$K$2:$M$503)*(ISNUMBER(MATCH('ALL 498 CONSOLIDATED NEW'!$G$2:$G$503,Table1713141118[SCHOOL LIST],0))))</f>
        <v>7</v>
      </c>
      <c r="D6">
        <v>7</v>
      </c>
      <c r="E6">
        <f t="shared" si="0"/>
        <v>0</v>
      </c>
      <c r="F6" t="s">
        <v>130</v>
      </c>
      <c r="G6" t="s">
        <v>1763</v>
      </c>
      <c r="H6" cm="1">
        <f t="array" ref="H6">SUMPRODUCT(('ALL 498 CONSOLIDATED NEW'!$N$2:$N$503=F$1)*(F6='ALL 498 CONSOLIDATED NEW'!$K$2:$M$503)*(ISNUMBER(MATCH('ALL 498 CONSOLIDATED NEW'!$G$2:$G$503,Table1713141118[SCHOOL LIST],0))))</f>
        <v>4</v>
      </c>
      <c r="I6">
        <v>4</v>
      </c>
      <c r="J6">
        <f t="shared" si="1"/>
        <v>0</v>
      </c>
      <c r="K6" t="s">
        <v>130</v>
      </c>
      <c r="L6">
        <v>105101005</v>
      </c>
      <c r="M6" cm="1">
        <f t="array" ref="M6">SUMPRODUCT(('ALL 498 CONSOLIDATED NEW'!$N$2:$N$503=K$1)*(K6='ALL 498 CONSOLIDATED NEW'!$K$2:$M$503)*(ISNUMBER(MATCH('ALL 498 CONSOLIDATED NEW'!$G$2:$G$503,Table1713141118[SCHOOL LIST],0))))</f>
        <v>2</v>
      </c>
      <c r="N6">
        <v>2</v>
      </c>
      <c r="O6">
        <f t="shared" si="2"/>
        <v>0</v>
      </c>
      <c r="AL6" s="56" t="s">
        <v>67</v>
      </c>
      <c r="AM6">
        <v>3</v>
      </c>
      <c r="AN6" t="s">
        <v>117</v>
      </c>
      <c r="AO6">
        <f>M22/3</f>
        <v>28</v>
      </c>
    </row>
    <row r="7" spans="1:41">
      <c r="A7" t="s">
        <v>443</v>
      </c>
      <c r="B7" t="s">
        <v>1764</v>
      </c>
      <c r="C7" cm="1">
        <f t="array" ref="C7">SUMPRODUCT(('ALL 498 CONSOLIDATED NEW'!$N$2:$N$503=A$1)*(A7='ALL 498 CONSOLIDATED NEW'!$K$2:$M$503)*(ISNUMBER(MATCH('ALL 498 CONSOLIDATED NEW'!$G$2:$G$503,Table1713141118[SCHOOL LIST],0))))</f>
        <v>0</v>
      </c>
      <c r="D7">
        <v>0</v>
      </c>
      <c r="E7">
        <f t="shared" si="0"/>
        <v>0</v>
      </c>
      <c r="F7" t="s">
        <v>443</v>
      </c>
      <c r="G7" t="s">
        <v>1765</v>
      </c>
      <c r="H7" cm="1">
        <f t="array" ref="H7">SUMPRODUCT(('ALL 498 CONSOLIDATED NEW'!$N$2:$N$503=F$1)*(F7='ALL 498 CONSOLIDATED NEW'!$K$2:$M$503)*(ISNUMBER(MATCH('ALL 498 CONSOLIDATED NEW'!$G$2:$G$503,Table1713141118[SCHOOL LIST],0))))</f>
        <v>0</v>
      </c>
      <c r="I7">
        <v>0</v>
      </c>
      <c r="J7">
        <f t="shared" si="1"/>
        <v>0</v>
      </c>
      <c r="K7" t="s">
        <v>443</v>
      </c>
      <c r="L7">
        <v>105101006</v>
      </c>
      <c r="M7" cm="1">
        <f t="array" ref="M7">SUMPRODUCT(('ALL 498 CONSOLIDATED NEW'!$N$2:$N$503=K$1)*(K7='ALL 498 CONSOLIDATED NEW'!$K$2:$M$503)*(ISNUMBER(MATCH('ALL 498 CONSOLIDATED NEW'!$G$2:$G$503,Table1713141118[SCHOOL LIST],0))))</f>
        <v>0</v>
      </c>
      <c r="N7">
        <v>0</v>
      </c>
      <c r="O7">
        <f t="shared" si="2"/>
        <v>0</v>
      </c>
      <c r="AL7" s="56" t="s">
        <v>68</v>
      </c>
      <c r="AM7">
        <v>4</v>
      </c>
      <c r="AN7" t="s">
        <v>188</v>
      </c>
      <c r="AO7">
        <f>R22/2</f>
        <v>10</v>
      </c>
    </row>
    <row r="8" spans="1:41">
      <c r="A8" t="s">
        <v>110</v>
      </c>
      <c r="B8" t="s">
        <v>1766</v>
      </c>
      <c r="C8" cm="1">
        <f t="array" ref="C8">SUMPRODUCT(('ALL 498 CONSOLIDATED NEW'!$N$2:$N$503=A$1)*(A8='ALL 498 CONSOLIDATED NEW'!$K$2:$M$503)*(ISNUMBER(MATCH('ALL 498 CONSOLIDATED NEW'!$G$2:$G$503,Table1713141118[SCHOOL LIST],0))))</f>
        <v>9</v>
      </c>
      <c r="D8">
        <v>9</v>
      </c>
      <c r="E8">
        <f t="shared" si="0"/>
        <v>0</v>
      </c>
      <c r="F8" t="s">
        <v>110</v>
      </c>
      <c r="G8" t="s">
        <v>1767</v>
      </c>
      <c r="H8" cm="1">
        <f t="array" ref="H8">SUMPRODUCT(('ALL 498 CONSOLIDATED NEW'!$N$2:$N$503=F$1)*(F8='ALL 498 CONSOLIDATED NEW'!$K$2:$M$503)*(ISNUMBER(MATCH('ALL 498 CONSOLIDATED NEW'!$G$2:$G$503,Table1713141118[SCHOOL LIST],0))))</f>
        <v>7</v>
      </c>
      <c r="I8">
        <v>7</v>
      </c>
      <c r="J8">
        <f t="shared" si="1"/>
        <v>0</v>
      </c>
      <c r="K8" t="s">
        <v>110</v>
      </c>
      <c r="L8">
        <v>105101007</v>
      </c>
      <c r="M8" cm="1">
        <f t="array" ref="M8">SUMPRODUCT(('ALL 498 CONSOLIDATED NEW'!$N$2:$N$503=K$1)*(K8='ALL 498 CONSOLIDATED NEW'!$K$2:$M$503)*(ISNUMBER(MATCH('ALL 498 CONSOLIDATED NEW'!$G$2:$G$503,Table1713141118[SCHOOL LIST],0))))</f>
        <v>7</v>
      </c>
      <c r="N8">
        <v>7</v>
      </c>
      <c r="O8">
        <f t="shared" si="2"/>
        <v>0</v>
      </c>
      <c r="AL8" s="56" t="s">
        <v>52</v>
      </c>
      <c r="AM8">
        <v>5</v>
      </c>
      <c r="AN8" t="s">
        <v>16</v>
      </c>
      <c r="AO8">
        <f>W22/2</f>
        <v>18</v>
      </c>
    </row>
    <row r="9" spans="1:41">
      <c r="A9" t="s">
        <v>108</v>
      </c>
      <c r="B9" t="s">
        <v>1768</v>
      </c>
      <c r="C9" cm="1">
        <f t="array" ref="C9">SUMPRODUCT(('ALL 498 CONSOLIDATED NEW'!$N$2:$N$503=A$1)*(A9='ALL 498 CONSOLIDATED NEW'!$K$2:$M$503)*(ISNUMBER(MATCH('ALL 498 CONSOLIDATED NEW'!$G$2:$G$503,Table1713141118[SCHOOL LIST],0))))</f>
        <v>15</v>
      </c>
      <c r="D9">
        <v>15</v>
      </c>
      <c r="E9">
        <f t="shared" si="0"/>
        <v>0</v>
      </c>
      <c r="F9" t="s">
        <v>108</v>
      </c>
      <c r="G9" t="s">
        <v>1769</v>
      </c>
      <c r="H9" cm="1">
        <f t="array" ref="H9">SUMPRODUCT(('ALL 498 CONSOLIDATED NEW'!$N$2:$N$503=F$1)*(F9='ALL 498 CONSOLIDATED NEW'!$K$2:$M$503)*(ISNUMBER(MATCH('ALL 498 CONSOLIDATED NEW'!$G$2:$G$503,Table1713141118[SCHOOL LIST],0))))</f>
        <v>13</v>
      </c>
      <c r="I9">
        <v>13</v>
      </c>
      <c r="J9">
        <f t="shared" si="1"/>
        <v>0</v>
      </c>
      <c r="K9" t="s">
        <v>108</v>
      </c>
      <c r="L9">
        <v>105101008</v>
      </c>
      <c r="M9" cm="1">
        <f t="array" ref="M9">SUMPRODUCT(('ALL 498 CONSOLIDATED NEW'!$N$2:$N$503=K$1)*(K9='ALL 498 CONSOLIDATED NEW'!$K$2:$M$503)*(ISNUMBER(MATCH('ALL 498 CONSOLIDATED NEW'!$G$2:$G$503,Table1713141118[SCHOOL LIST],0))))</f>
        <v>15</v>
      </c>
      <c r="N9">
        <v>15</v>
      </c>
      <c r="O9">
        <f t="shared" si="2"/>
        <v>0</v>
      </c>
      <c r="AL9" s="87" t="s">
        <v>80</v>
      </c>
      <c r="AM9">
        <v>6</v>
      </c>
      <c r="AN9" t="s">
        <v>122</v>
      </c>
      <c r="AO9">
        <f>AB22</f>
        <v>10</v>
      </c>
    </row>
    <row r="10" spans="1:41">
      <c r="A10" t="s">
        <v>250</v>
      </c>
      <c r="B10" t="s">
        <v>1770</v>
      </c>
      <c r="C10" cm="1">
        <f t="array" ref="C10">SUMPRODUCT(('ALL 498 CONSOLIDATED NEW'!$N$2:$N$503=A$1)*(A10='ALL 498 CONSOLIDATED NEW'!$K$2:$M$503)*(ISNUMBER(MATCH('ALL 498 CONSOLIDATED NEW'!$G$2:$G$503,Table1713141118[SCHOOL LIST],0))))</f>
        <v>0</v>
      </c>
      <c r="D10">
        <v>0</v>
      </c>
      <c r="E10">
        <f t="shared" si="0"/>
        <v>0</v>
      </c>
      <c r="F10" t="s">
        <v>250</v>
      </c>
      <c r="G10" t="s">
        <v>1771</v>
      </c>
      <c r="H10" cm="1">
        <f t="array" ref="H10">SUMPRODUCT(('ALL 498 CONSOLIDATED NEW'!$N$2:$N$503=F$1)*(F10='ALL 498 CONSOLIDATED NEW'!$K$2:$M$503)*(ISNUMBER(MATCH('ALL 498 CONSOLIDATED NEW'!$G$2:$G$503,Table1713141118[SCHOOL LIST],0))))</f>
        <v>1</v>
      </c>
      <c r="I10">
        <v>1</v>
      </c>
      <c r="J10">
        <f t="shared" si="1"/>
        <v>0</v>
      </c>
      <c r="K10" t="s">
        <v>250</v>
      </c>
      <c r="L10">
        <v>105101009</v>
      </c>
      <c r="M10" cm="1">
        <f t="array" ref="M10">SUMPRODUCT(('ALL 498 CONSOLIDATED NEW'!$N$2:$N$503=K$1)*(K10='ALL 498 CONSOLIDATED NEW'!$K$2:$M$503)*(ISNUMBER(MATCH('ALL 498 CONSOLIDATED NEW'!$G$2:$G$503,Table1713141118[SCHOOL LIST],0))))</f>
        <v>0</v>
      </c>
      <c r="N10">
        <v>0</v>
      </c>
      <c r="O10">
        <f t="shared" si="2"/>
        <v>0</v>
      </c>
      <c r="AL10" s="56" t="s">
        <v>65</v>
      </c>
      <c r="AM10">
        <v>7</v>
      </c>
      <c r="AN10" t="s">
        <v>12</v>
      </c>
      <c r="AO10">
        <f>AG22</f>
        <v>5</v>
      </c>
    </row>
    <row r="11" spans="1:41">
      <c r="A11" t="s">
        <v>135</v>
      </c>
      <c r="B11" t="s">
        <v>1772</v>
      </c>
      <c r="C11" cm="1">
        <f t="array" ref="C11">SUMPRODUCT(('ALL 498 CONSOLIDATED NEW'!$N$2:$N$503=A$1)*(A11='ALL 498 CONSOLIDATED NEW'!$K$2:$M$503)*(ISNUMBER(MATCH('ALL 498 CONSOLIDATED NEW'!$G$2:$G$503,Table1713141118[SCHOOL LIST],0))))</f>
        <v>12</v>
      </c>
      <c r="D11">
        <v>12</v>
      </c>
      <c r="E11">
        <f t="shared" si="0"/>
        <v>0</v>
      </c>
      <c r="F11" t="s">
        <v>135</v>
      </c>
      <c r="G11" t="s">
        <v>1773</v>
      </c>
      <c r="H11" cm="1">
        <f t="array" ref="H11">SUMPRODUCT(('ALL 498 CONSOLIDATED NEW'!$N$2:$N$503=F$1)*(F11='ALL 498 CONSOLIDATED NEW'!$K$2:$M$503)*(ISNUMBER(MATCH('ALL 498 CONSOLIDATED NEW'!$G$2:$G$503,Table1713141118[SCHOOL LIST],0))))</f>
        <v>14</v>
      </c>
      <c r="I11">
        <v>14</v>
      </c>
      <c r="J11">
        <f t="shared" si="1"/>
        <v>0</v>
      </c>
      <c r="K11" t="s">
        <v>135</v>
      </c>
      <c r="L11">
        <v>105101010</v>
      </c>
      <c r="M11" cm="1">
        <f t="array" ref="M11">SUMPRODUCT(('ALL 498 CONSOLIDATED NEW'!$N$2:$N$503=K$1)*(K11='ALL 498 CONSOLIDATED NEW'!$K$2:$M$503)*(ISNUMBER(MATCH('ALL 498 CONSOLIDATED NEW'!$G$2:$G$503,Table1713141118[SCHOOL LIST],0))))</f>
        <v>20</v>
      </c>
      <c r="N11">
        <v>20</v>
      </c>
      <c r="O11">
        <f t="shared" si="2"/>
        <v>0</v>
      </c>
      <c r="AL11" s="56" t="s">
        <v>85</v>
      </c>
      <c r="AN11" s="99" t="s">
        <v>1774</v>
      </c>
      <c r="AO11">
        <f>SUM(AO4:AO10)</f>
        <v>122</v>
      </c>
    </row>
    <row r="12" spans="1:41">
      <c r="A12" t="s">
        <v>150</v>
      </c>
      <c r="B12" t="s">
        <v>1775</v>
      </c>
      <c r="C12" cm="1">
        <f t="array" ref="C12">SUMPRODUCT(('ALL 498 CONSOLIDATED NEW'!$N$2:$N$503=A$1)*(A12='ALL 498 CONSOLIDATED NEW'!$K$2:$M$503)*(ISNUMBER(MATCH('ALL 498 CONSOLIDATED NEW'!$G$2:$G$503,Table1713141118[SCHOOL LIST],0))))</f>
        <v>4</v>
      </c>
      <c r="D12">
        <v>4</v>
      </c>
      <c r="E12">
        <f t="shared" si="0"/>
        <v>0</v>
      </c>
      <c r="F12" t="s">
        <v>150</v>
      </c>
      <c r="G12" t="s">
        <v>1776</v>
      </c>
      <c r="H12" cm="1">
        <f t="array" ref="H12">SUMPRODUCT(('ALL 498 CONSOLIDATED NEW'!$N$2:$N$503=F$1)*(F12='ALL 498 CONSOLIDATED NEW'!$K$2:$M$503)*(ISNUMBER(MATCH('ALL 498 CONSOLIDATED NEW'!$G$2:$G$503,Table1713141118[SCHOOL LIST],0))))</f>
        <v>4</v>
      </c>
      <c r="I12">
        <v>4</v>
      </c>
      <c r="J12">
        <f t="shared" si="1"/>
        <v>0</v>
      </c>
      <c r="K12" t="s">
        <v>150</v>
      </c>
      <c r="L12">
        <v>105101011</v>
      </c>
      <c r="M12" cm="1">
        <f t="array" ref="M12">SUMPRODUCT(('ALL 498 CONSOLIDATED NEW'!$N$2:$N$503=K$1)*(K12='ALL 498 CONSOLIDATED NEW'!$K$2:$M$503)*(ISNUMBER(MATCH('ALL 498 CONSOLIDATED NEW'!$G$2:$G$503,Table1713141118[SCHOOL LIST],0))))</f>
        <v>6</v>
      </c>
      <c r="N12">
        <v>6</v>
      </c>
      <c r="O12">
        <f t="shared" si="2"/>
        <v>0</v>
      </c>
      <c r="AL12" s="56"/>
      <c r="AN12" s="99" t="s">
        <v>1777</v>
      </c>
      <c r="AO12">
        <f>SUM(AO4:AO9)</f>
        <v>117</v>
      </c>
    </row>
    <row r="13" spans="1:41">
      <c r="A13" t="s">
        <v>846</v>
      </c>
      <c r="B13" t="s">
        <v>1778</v>
      </c>
      <c r="C13" cm="1">
        <f t="array" ref="C13">SUMPRODUCT(('ALL 498 CONSOLIDATED NEW'!$N$2:$N$503=A$1)*(A13='ALL 498 CONSOLIDATED NEW'!$K$2:$M$503)*(ISNUMBER(MATCH('ALL 498 CONSOLIDATED NEW'!$G$2:$G$503,Table1713141118[SCHOOL LIST],0))))</f>
        <v>0</v>
      </c>
      <c r="D13">
        <v>0</v>
      </c>
      <c r="E13">
        <f t="shared" si="0"/>
        <v>0</v>
      </c>
      <c r="F13" t="s">
        <v>846</v>
      </c>
      <c r="G13" t="s">
        <v>1779</v>
      </c>
      <c r="H13" cm="1">
        <f t="array" ref="H13">SUMPRODUCT(('ALL 498 CONSOLIDATED NEW'!$N$2:$N$503=F$1)*(F13='ALL 498 CONSOLIDATED NEW'!$K$2:$M$503)*(ISNUMBER(MATCH('ALL 498 CONSOLIDATED NEW'!$G$2:$G$503,Table1713141118[SCHOOL LIST],0))))</f>
        <v>0</v>
      </c>
      <c r="I13">
        <v>0</v>
      </c>
      <c r="J13">
        <f t="shared" si="1"/>
        <v>0</v>
      </c>
      <c r="K13" t="s">
        <v>846</v>
      </c>
      <c r="L13">
        <v>105101012</v>
      </c>
      <c r="M13" cm="1">
        <f t="array" ref="M13">SUMPRODUCT(('ALL 498 CONSOLIDATED NEW'!$N$2:$N$503=K$1)*(K13='ALL 498 CONSOLIDATED NEW'!$K$2:$M$503)*(ISNUMBER(MATCH('ALL 498 CONSOLIDATED NEW'!$G$2:$G$503,Table1713141118[SCHOOL LIST],0))))</f>
        <v>1</v>
      </c>
      <c r="N13">
        <v>1</v>
      </c>
      <c r="O13">
        <f t="shared" si="2"/>
        <v>0</v>
      </c>
      <c r="AL13" s="98"/>
    </row>
    <row r="14" spans="1:41">
      <c r="A14" t="s">
        <v>251</v>
      </c>
      <c r="B14" t="s">
        <v>1780</v>
      </c>
      <c r="C14" cm="1">
        <f t="array" ref="C14">SUMPRODUCT(('ALL 498 CONSOLIDATED NEW'!$N$2:$N$503=A$1)*(A14='ALL 498 CONSOLIDATED NEW'!$K$2:$M$503)*(ISNUMBER(MATCH('ALL 498 CONSOLIDATED NEW'!$G$2:$G$503,Table1713141118[SCHOOL LIST],0))))</f>
        <v>0</v>
      </c>
      <c r="D14">
        <v>0</v>
      </c>
      <c r="E14">
        <f t="shared" si="0"/>
        <v>0</v>
      </c>
      <c r="F14" t="s">
        <v>251</v>
      </c>
      <c r="G14" t="s">
        <v>1781</v>
      </c>
      <c r="H14" cm="1">
        <f t="array" ref="H14">SUMPRODUCT(('ALL 498 CONSOLIDATED NEW'!$N$2:$N$503=F$1)*(F14='ALL 498 CONSOLIDATED NEW'!$K$2:$M$503)*(ISNUMBER(MATCH('ALL 498 CONSOLIDATED NEW'!$G$2:$G$503,Table1713141118[SCHOOL LIST],0))))</f>
        <v>1</v>
      </c>
      <c r="I14">
        <v>1</v>
      </c>
      <c r="J14">
        <f t="shared" si="1"/>
        <v>0</v>
      </c>
      <c r="K14" t="s">
        <v>251</v>
      </c>
      <c r="L14">
        <v>105101013</v>
      </c>
      <c r="M14" cm="1">
        <f t="array" ref="M14">SUMPRODUCT(('ALL 498 CONSOLIDATED NEW'!$N$2:$N$503=K$1)*(K14='ALL 498 CONSOLIDATED NEW'!$K$2:$M$503)*(ISNUMBER(MATCH('ALL 498 CONSOLIDATED NEW'!$G$2:$G$503,Table1713141118[SCHOOL LIST],0))))</f>
        <v>0</v>
      </c>
      <c r="N14">
        <v>0</v>
      </c>
      <c r="O14">
        <f t="shared" si="2"/>
        <v>0</v>
      </c>
    </row>
    <row r="15" spans="1:41">
      <c r="A15" t="s">
        <v>136</v>
      </c>
      <c r="B15" t="s">
        <v>1782</v>
      </c>
      <c r="C15" cm="1">
        <f t="array" ref="C15">SUMPRODUCT(('ALL 498 CONSOLIDATED NEW'!$N$2:$N$503=A$1)*(A15='ALL 498 CONSOLIDATED NEW'!$K$2:$M$503)*(ISNUMBER(MATCH('ALL 498 CONSOLIDATED NEW'!$G$2:$G$503,Table1713141118[SCHOOL LIST],0))))</f>
        <v>20</v>
      </c>
      <c r="D15">
        <v>20</v>
      </c>
      <c r="E15">
        <f t="shared" si="0"/>
        <v>0</v>
      </c>
      <c r="F15" t="s">
        <v>136</v>
      </c>
      <c r="G15" t="s">
        <v>1783</v>
      </c>
      <c r="H15" cm="1">
        <f t="array" ref="H15">SUMPRODUCT(('ALL 498 CONSOLIDATED NEW'!$N$2:$N$503=F$1)*(F15='ALL 498 CONSOLIDATED NEW'!$K$2:$M$503)*(ISNUMBER(MATCH('ALL 498 CONSOLIDATED NEW'!$G$2:$G$503,Table1713141118[SCHOOL LIST],0))))</f>
        <v>14</v>
      </c>
      <c r="I15">
        <v>14</v>
      </c>
      <c r="J15">
        <f t="shared" si="1"/>
        <v>0</v>
      </c>
      <c r="K15" t="s">
        <v>136</v>
      </c>
      <c r="L15">
        <v>105101014</v>
      </c>
      <c r="M15" cm="1">
        <f t="array" ref="M15">SUMPRODUCT(('ALL 498 CONSOLIDATED NEW'!$N$2:$N$503=K$1)*(K15='ALL 498 CONSOLIDATED NEW'!$K$2:$M$503)*(ISNUMBER(MATCH('ALL 498 CONSOLIDATED NEW'!$G$2:$G$503,Table1713141118[SCHOOL LIST],0))))</f>
        <v>21</v>
      </c>
      <c r="N15">
        <v>21</v>
      </c>
      <c r="O15">
        <f t="shared" si="2"/>
        <v>0</v>
      </c>
    </row>
    <row r="16" spans="1:41">
      <c r="A16" t="s">
        <v>198</v>
      </c>
      <c r="B16" t="s">
        <v>1784</v>
      </c>
      <c r="C16" cm="1">
        <f t="array" ref="C16">SUMPRODUCT(('ALL 498 CONSOLIDATED NEW'!$N$2:$N$503=A$1)*(A16='ALL 498 CONSOLIDATED NEW'!$K$2:$M$503)*(ISNUMBER(MATCH('ALL 498 CONSOLIDATED NEW'!$G$2:$G$503,Table1713141118[SCHOOL LIST],0))))</f>
        <v>3</v>
      </c>
      <c r="D16">
        <v>3</v>
      </c>
      <c r="E16">
        <f t="shared" si="0"/>
        <v>0</v>
      </c>
      <c r="F16" t="s">
        <v>198</v>
      </c>
      <c r="G16" t="s">
        <v>1785</v>
      </c>
      <c r="H16" cm="1">
        <f t="array" ref="H16">SUMPRODUCT(('ALL 498 CONSOLIDATED NEW'!$N$2:$N$503=F$1)*(F16='ALL 498 CONSOLIDATED NEW'!$K$2:$M$503)*(ISNUMBER(MATCH('ALL 498 CONSOLIDATED NEW'!$G$2:$G$503,Table1713141118[SCHOOL LIST],0))))</f>
        <v>3</v>
      </c>
      <c r="I16">
        <v>3</v>
      </c>
      <c r="J16">
        <f t="shared" si="1"/>
        <v>0</v>
      </c>
      <c r="K16" t="s">
        <v>198</v>
      </c>
      <c r="L16">
        <v>105101015</v>
      </c>
      <c r="M16" cm="1">
        <f t="array" ref="M16">SUMPRODUCT(('ALL 498 CONSOLIDATED NEW'!$N$2:$N$503=K$1)*(K16='ALL 498 CONSOLIDATED NEW'!$K$2:$M$503)*(ISNUMBER(MATCH('ALL 498 CONSOLIDATED NEW'!$G$2:$G$503,Table1713141118[SCHOOL LIST],0))))</f>
        <v>3</v>
      </c>
      <c r="N16">
        <v>3</v>
      </c>
      <c r="O16">
        <f t="shared" si="2"/>
        <v>0</v>
      </c>
    </row>
    <row r="17" spans="1:37">
      <c r="A17" t="s">
        <v>200</v>
      </c>
      <c r="B17" t="s">
        <v>1786</v>
      </c>
      <c r="C17" cm="1">
        <f t="array" ref="C17">SUMPRODUCT(('ALL 498 CONSOLIDATED NEW'!$N$2:$N$503=A$1)*(A17='ALL 498 CONSOLIDATED NEW'!$K$2:$M$503)*(ISNUMBER(MATCH('ALL 498 CONSOLIDATED NEW'!$G$2:$G$503,Table1713141118[SCHOOL LIST],0))))</f>
        <v>7</v>
      </c>
      <c r="D17">
        <v>7</v>
      </c>
      <c r="E17">
        <f t="shared" si="0"/>
        <v>0</v>
      </c>
      <c r="F17" t="s">
        <v>200</v>
      </c>
      <c r="G17" t="s">
        <v>1787</v>
      </c>
      <c r="H17" cm="1">
        <f t="array" ref="H17">SUMPRODUCT(('ALL 498 CONSOLIDATED NEW'!$N$2:$N$503=F$1)*(F17='ALL 498 CONSOLIDATED NEW'!$K$2:$M$503)*(ISNUMBER(MATCH('ALL 498 CONSOLIDATED NEW'!$G$2:$G$503,Table1713141118[SCHOOL LIST],0))))</f>
        <v>0</v>
      </c>
      <c r="I17">
        <v>0</v>
      </c>
      <c r="J17">
        <f t="shared" si="1"/>
        <v>0</v>
      </c>
      <c r="K17" t="s">
        <v>200</v>
      </c>
      <c r="L17">
        <v>105101016</v>
      </c>
      <c r="M17" cm="1">
        <f t="array" ref="M17">SUMPRODUCT(('ALL 498 CONSOLIDATED NEW'!$N$2:$N$503=K$1)*(K17='ALL 498 CONSOLIDATED NEW'!$K$2:$M$503)*(ISNUMBER(MATCH('ALL 498 CONSOLIDATED NEW'!$G$2:$G$503,Table1713141118[SCHOOL LIST],0))))</f>
        <v>1</v>
      </c>
      <c r="N17">
        <v>1</v>
      </c>
      <c r="O17">
        <f t="shared" si="2"/>
        <v>0</v>
      </c>
    </row>
    <row r="18" spans="1:37">
      <c r="A18" t="s">
        <v>1788</v>
      </c>
      <c r="B18" t="s">
        <v>1789</v>
      </c>
      <c r="C18" cm="1">
        <f t="array" ref="C18">SUMPRODUCT(('ALL 498 CONSOLIDATED NEW'!$N$2:$N$503=A$1)*(A18='ALL 498 CONSOLIDATED NEW'!$K$2:$M$503)*(ISNUMBER(MATCH('ALL 498 CONSOLIDATED NEW'!$G$2:$G$503,Table1713141118[SCHOOL LIST],0))))</f>
        <v>0</v>
      </c>
      <c r="D18">
        <v>0</v>
      </c>
      <c r="E18">
        <f t="shared" si="0"/>
        <v>0</v>
      </c>
      <c r="F18" t="s">
        <v>1788</v>
      </c>
      <c r="G18" t="s">
        <v>1790</v>
      </c>
      <c r="H18" cm="1">
        <f t="array" ref="H18">SUMPRODUCT(('ALL 498 CONSOLIDATED NEW'!$N$2:$N$503=F$1)*(F18='ALL 498 CONSOLIDATED NEW'!$K$2:$M$503)*(ISNUMBER(MATCH('ALL 498 CONSOLIDATED NEW'!$G$2:$G$503,Table1713141118[SCHOOL LIST],0))))</f>
        <v>0</v>
      </c>
      <c r="I18">
        <v>0</v>
      </c>
      <c r="J18">
        <f t="shared" si="1"/>
        <v>0</v>
      </c>
      <c r="K18" t="s">
        <v>1788</v>
      </c>
      <c r="L18">
        <v>105101017</v>
      </c>
      <c r="M18" cm="1">
        <f t="array" ref="M18">SUMPRODUCT(('ALL 498 CONSOLIDATED NEW'!$N$2:$N$503=K$1)*(K18='ALL 498 CONSOLIDATED NEW'!$K$2:$M$503)*(ISNUMBER(MATCH('ALL 498 CONSOLIDATED NEW'!$G$2:$G$503,Table1713141118[SCHOOL LIST],0))))</f>
        <v>0</v>
      </c>
      <c r="N18">
        <v>0</v>
      </c>
      <c r="O18">
        <f t="shared" si="2"/>
        <v>0</v>
      </c>
    </row>
    <row r="19" spans="1:37">
      <c r="A19" t="s">
        <v>315</v>
      </c>
      <c r="B19" t="s">
        <v>1791</v>
      </c>
      <c r="C19" cm="1">
        <f t="array" ref="C19">SUMPRODUCT(('ALL 498 CONSOLIDATED NEW'!$N$2:$N$503=A$1)*(A19='ALL 498 CONSOLIDATED NEW'!$K$2:$M$503)*(ISNUMBER(MATCH('ALL 498 CONSOLIDATED NEW'!$G$2:$G$503,Table1713141118[SCHOOL LIST],0))))</f>
        <v>2</v>
      </c>
      <c r="D19">
        <v>2</v>
      </c>
      <c r="E19">
        <f t="shared" si="0"/>
        <v>0</v>
      </c>
      <c r="F19" t="s">
        <v>315</v>
      </c>
      <c r="G19" t="s">
        <v>1792</v>
      </c>
      <c r="H19" cm="1">
        <f t="array" ref="H19">SUMPRODUCT(('ALL 498 CONSOLIDATED NEW'!$N$2:$N$503=F$1)*(F19='ALL 498 CONSOLIDATED NEW'!$K$2:$M$503)*(ISNUMBER(MATCH('ALL 498 CONSOLIDATED NEW'!$G$2:$G$503,Table1713141118[SCHOOL LIST],0))))</f>
        <v>0</v>
      </c>
      <c r="I19">
        <v>0</v>
      </c>
      <c r="J19">
        <f t="shared" si="1"/>
        <v>0</v>
      </c>
      <c r="K19" t="s">
        <v>315</v>
      </c>
      <c r="L19">
        <v>105101018</v>
      </c>
      <c r="M19" cm="1">
        <f t="array" ref="M19">SUMPRODUCT(('ALL 498 CONSOLIDATED NEW'!$N$2:$N$503=K$1)*(K19='ALL 498 CONSOLIDATED NEW'!$K$2:$M$503)*(ISNUMBER(MATCH('ALL 498 CONSOLIDATED NEW'!$G$2:$G$503,Table1713141118[SCHOOL LIST],0))))</f>
        <v>0</v>
      </c>
      <c r="N19">
        <v>0</v>
      </c>
      <c r="O19">
        <f t="shared" si="2"/>
        <v>0</v>
      </c>
    </row>
    <row r="20" spans="1:37">
      <c r="A20" t="s">
        <v>199</v>
      </c>
      <c r="B20" t="s">
        <v>1793</v>
      </c>
      <c r="C20" cm="1">
        <f t="array" ref="C20">SUMPRODUCT(('ALL 498 CONSOLIDATED NEW'!$N$2:$N$503=A$1)*(A20='ALL 498 CONSOLIDATED NEW'!$K$2:$M$503)*(ISNUMBER(MATCH('ALL 498 CONSOLIDATED NEW'!$G$2:$G$503,Table1713141118[SCHOOL LIST],0))))</f>
        <v>1</v>
      </c>
      <c r="D20">
        <v>1</v>
      </c>
      <c r="E20">
        <f t="shared" si="0"/>
        <v>0</v>
      </c>
      <c r="F20" t="s">
        <v>199</v>
      </c>
      <c r="G20" t="s">
        <v>1794</v>
      </c>
      <c r="H20" cm="1">
        <f t="array" ref="H20">SUMPRODUCT(('ALL 498 CONSOLIDATED NEW'!$N$2:$N$503=F$1)*(F20='ALL 498 CONSOLIDATED NEW'!$K$2:$M$503)*(ISNUMBER(MATCH('ALL 498 CONSOLIDATED NEW'!$G$2:$G$503,Table1713141118[SCHOOL LIST],0))))</f>
        <v>0</v>
      </c>
      <c r="I20">
        <v>0</v>
      </c>
      <c r="J20">
        <f t="shared" si="1"/>
        <v>0</v>
      </c>
      <c r="K20" t="s">
        <v>199</v>
      </c>
      <c r="L20">
        <v>105101019</v>
      </c>
      <c r="M20" cm="1">
        <f t="array" ref="M20">SUMPRODUCT(('ALL 498 CONSOLIDATED NEW'!$N$2:$N$503=K$1)*(K20='ALL 498 CONSOLIDATED NEW'!$K$2:$M$503)*(ISNUMBER(MATCH('ALL 498 CONSOLIDATED NEW'!$G$2:$G$503,Table1713141118[SCHOOL LIST],0))))</f>
        <v>1</v>
      </c>
      <c r="N20">
        <v>1</v>
      </c>
      <c r="O20">
        <f t="shared" si="2"/>
        <v>0</v>
      </c>
    </row>
    <row r="21" spans="1:37">
      <c r="A21" t="s">
        <v>635</v>
      </c>
      <c r="B21" t="s">
        <v>1795</v>
      </c>
      <c r="C21" cm="1">
        <f t="array" ref="C21">SUMPRODUCT(('ALL 498 CONSOLIDATED NEW'!$N$2:$N$503=A$1)*(A21='ALL 498 CONSOLIDATED NEW'!$K$2:$M$503)*(ISNUMBER(MATCH('ALL 498 CONSOLIDATED NEW'!$G$2:$G$503,Table1713141118[SCHOOL LIST],0))))</f>
        <v>8</v>
      </c>
      <c r="D21">
        <v>8</v>
      </c>
      <c r="E21">
        <f t="shared" si="0"/>
        <v>0</v>
      </c>
      <c r="F21" t="s">
        <v>635</v>
      </c>
      <c r="G21" t="s">
        <v>1796</v>
      </c>
      <c r="H21" cm="1">
        <f t="array" ref="H21">SUMPRODUCT(('ALL 498 CONSOLIDATED NEW'!$N$2:$N$503=F$1)*(F21='ALL 498 CONSOLIDATED NEW'!$K$2:$M$503)*(ISNUMBER(MATCH('ALL 498 CONSOLIDATED NEW'!$G$2:$G$503,Table1713141118[SCHOOL LIST],0))))</f>
        <v>0</v>
      </c>
      <c r="I21">
        <v>0</v>
      </c>
      <c r="J21">
        <f t="shared" si="1"/>
        <v>0</v>
      </c>
      <c r="K21" t="s">
        <v>635</v>
      </c>
      <c r="L21">
        <v>105101020</v>
      </c>
      <c r="M21" cm="1">
        <f t="array" ref="M21">SUMPRODUCT(('ALL 498 CONSOLIDATED NEW'!$N$2:$N$503=K$1)*(K21='ALL 498 CONSOLIDATED NEW'!$K$2:$M$503)*(ISNUMBER(MATCH('ALL 498 CONSOLIDATED NEW'!$G$2:$G$503,Table1713141118[SCHOOL LIST],0))))</f>
        <v>0</v>
      </c>
      <c r="N21">
        <v>0</v>
      </c>
      <c r="O21">
        <f t="shared" si="2"/>
        <v>0</v>
      </c>
    </row>
    <row r="22" spans="1:37" s="20" customFormat="1" ht="30.75">
      <c r="B22" s="20" t="str">
        <f>A1</f>
        <v>Palm Pen Holder</v>
      </c>
      <c r="C22" s="20">
        <f>SUM(C2:C21)</f>
        <v>90</v>
      </c>
      <c r="D22">
        <f>SUM(D2:D21)</f>
        <v>90</v>
      </c>
      <c r="E22">
        <f t="shared" si="0"/>
        <v>0</v>
      </c>
      <c r="G22" s="20" t="str">
        <f>F1</f>
        <v>TOOTH  BRUSH ADAPTER</v>
      </c>
      <c r="H22" s="20">
        <f>SUM(H2:H21)</f>
        <v>63</v>
      </c>
      <c r="I22" s="20">
        <f>SUM(I2:I21)</f>
        <v>63</v>
      </c>
      <c r="J22">
        <f t="shared" si="1"/>
        <v>0</v>
      </c>
      <c r="L22" s="20" t="str">
        <f>K1</f>
        <v>Utensil Holder</v>
      </c>
      <c r="M22" s="20">
        <f>SUM(M2:M21)</f>
        <v>84</v>
      </c>
      <c r="N22" s="20">
        <f>SUM(N2:N21)</f>
        <v>84</v>
      </c>
      <c r="O22">
        <f t="shared" si="2"/>
        <v>0</v>
      </c>
      <c r="Q22" s="20" t="str">
        <f>P1</f>
        <v>Reading Bar - Curved</v>
      </c>
      <c r="R22" s="20">
        <f>SUM(R2:R21)</f>
        <v>20</v>
      </c>
      <c r="S22" s="20">
        <f>SUM(S2:S3)</f>
        <v>20</v>
      </c>
      <c r="T22">
        <f t="shared" ref="T22" si="3">R22-S22</f>
        <v>0</v>
      </c>
      <c r="V22" s="20" t="str">
        <f>U1</f>
        <v>Assistive Pencil Grip</v>
      </c>
      <c r="W22" s="20">
        <f>SUM(W2:W21)</f>
        <v>36</v>
      </c>
      <c r="X22" s="20">
        <f>SUM(X2:X3)</f>
        <v>36</v>
      </c>
      <c r="Y22" s="20">
        <f t="shared" ref="Y22" si="4">W22-X22</f>
        <v>0</v>
      </c>
      <c r="AA22" s="20" t="str">
        <f>Z1</f>
        <v>Button Aid</v>
      </c>
      <c r="AB22" s="20">
        <f>SUM(AB2:AB21)</f>
        <v>10</v>
      </c>
      <c r="AC22" s="20">
        <v>10</v>
      </c>
      <c r="AD22" s="20">
        <f t="shared" ref="AD22" si="5">AB22-AC22</f>
        <v>0</v>
      </c>
      <c r="AF22" s="20" t="str">
        <f>AE1</f>
        <v>LOW PROFILE SWITCH</v>
      </c>
      <c r="AG22" s="20">
        <f>SUM(AG2:AG21)</f>
        <v>5</v>
      </c>
      <c r="AH22" s="20">
        <f>SUM(AH2:AH3)</f>
        <v>0</v>
      </c>
      <c r="AI22" s="20">
        <f t="shared" ref="AI22" si="6">AG22-AH22</f>
        <v>5</v>
      </c>
      <c r="AJ22" s="20">
        <f>SUM(AG22,C22,H22,M22,R22,W22,AB22)</f>
        <v>308</v>
      </c>
      <c r="AK22" s="20" t="s">
        <v>1774</v>
      </c>
    </row>
    <row r="23" spans="1:37">
      <c r="AJ23">
        <f>SUM(C22,H22,M22,R22,W22,AB22)</f>
        <v>303</v>
      </c>
      <c r="AK23" t="s">
        <v>1797</v>
      </c>
    </row>
    <row r="24" spans="1:37">
      <c r="AJ24" s="113">
        <f>SUM(E22,J22,O22,T22,Y22,AD22)</f>
        <v>0</v>
      </c>
      <c r="AK24" s="113" t="s">
        <v>1798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59B3-8997-4619-B92A-F34225A8141F}">
  <dimension ref="A1:AO24"/>
  <sheetViews>
    <sheetView workbookViewId="0">
      <pane ySplit="1" topLeftCell="A2" activePane="bottomLeft" state="frozen"/>
      <selection pane="bottomLeft" activeCell="N17" sqref="N17"/>
    </sheetView>
  </sheetViews>
  <sheetFormatPr defaultRowHeight="15"/>
  <cols>
    <col min="2" max="2" width="10" customWidth="1"/>
    <col min="3" max="5" width="4.42578125" customWidth="1"/>
    <col min="7" max="7" width="10.140625" customWidth="1"/>
    <col min="8" max="10" width="5.28515625" customWidth="1"/>
    <col min="12" max="12" width="10.85546875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 ht="45.75">
      <c r="A1" s="20" t="s">
        <v>111</v>
      </c>
      <c r="C1" s="20" t="s">
        <v>1747</v>
      </c>
      <c r="D1" s="20" t="s">
        <v>1748</v>
      </c>
      <c r="E1" s="20" t="s">
        <v>1749</v>
      </c>
      <c r="F1" s="20" t="s">
        <v>162</v>
      </c>
      <c r="H1" s="20" t="s">
        <v>1747</v>
      </c>
      <c r="I1" s="20" t="s">
        <v>1748</v>
      </c>
      <c r="J1" s="20" t="s">
        <v>1749</v>
      </c>
      <c r="K1" s="20" t="s">
        <v>117</v>
      </c>
      <c r="M1" s="20" t="s">
        <v>1747</v>
      </c>
      <c r="N1" s="20" t="s">
        <v>1748</v>
      </c>
      <c r="O1" s="20" t="s">
        <v>1749</v>
      </c>
      <c r="P1" s="20" t="s">
        <v>188</v>
      </c>
      <c r="R1" s="20" t="s">
        <v>1747</v>
      </c>
      <c r="S1" s="20" t="s">
        <v>1748</v>
      </c>
      <c r="T1" s="20" t="s">
        <v>1749</v>
      </c>
      <c r="U1" s="20" t="s">
        <v>16</v>
      </c>
      <c r="W1" s="20" t="s">
        <v>1747</v>
      </c>
      <c r="X1" s="20" t="s">
        <v>1748</v>
      </c>
      <c r="Y1" s="20" t="s">
        <v>1749</v>
      </c>
      <c r="Z1" s="20" t="s">
        <v>122</v>
      </c>
      <c r="AB1" s="20" t="s">
        <v>1747</v>
      </c>
      <c r="AC1" s="20" t="s">
        <v>1748</v>
      </c>
      <c r="AD1" s="20" t="s">
        <v>1749</v>
      </c>
      <c r="AE1" s="20" t="s">
        <v>12</v>
      </c>
      <c r="AG1" s="20" t="s">
        <v>1747</v>
      </c>
      <c r="AH1" s="20" t="s">
        <v>1748</v>
      </c>
      <c r="AI1" s="20" t="s">
        <v>1749</v>
      </c>
      <c r="AL1" t="s">
        <v>1750</v>
      </c>
    </row>
    <row r="2" spans="1:41">
      <c r="A2" t="s">
        <v>116</v>
      </c>
      <c r="B2" t="s">
        <v>1751</v>
      </c>
      <c r="C2" cm="1">
        <f t="array" ref="C2">SUMPRODUCT(('ALL 498 CONSOLIDATED NEW'!$N$2:$N$503=A$1)*(A2='ALL 498 CONSOLIDATED NEW'!$K$2:$M$503)*(ISNUMBER(MATCH('ALL 498 CONSOLIDATED NEW'!$G$2:$G$503,Table17131411212415[SCHOOL LIST],0))))</f>
        <v>1</v>
      </c>
      <c r="D2">
        <v>1</v>
      </c>
      <c r="E2">
        <f>C2-D2</f>
        <v>0</v>
      </c>
      <c r="F2" t="s">
        <v>116</v>
      </c>
      <c r="G2" t="s">
        <v>1752</v>
      </c>
      <c r="H2" cm="1">
        <f t="array" ref="H2">SUMPRODUCT(('ALL 498 CONSOLIDATED NEW'!$N$2:$N$503=F$1)*(F2='ALL 498 CONSOLIDATED NEW'!$K$2:$M$503)*(ISNUMBER(MATCH('ALL 498 CONSOLIDATED NEW'!$G$2:$G$503,Table17131411212415[SCHOOL LIST],0))))</f>
        <v>3</v>
      </c>
      <c r="I2">
        <v>3</v>
      </c>
      <c r="J2">
        <f>H2-I2</f>
        <v>0</v>
      </c>
      <c r="K2" t="s">
        <v>116</v>
      </c>
      <c r="L2">
        <v>105101001</v>
      </c>
      <c r="M2" cm="1">
        <f t="array" ref="M2">SUMPRODUCT(('ALL 498 CONSOLIDATED NEW'!$N$2:$N$503=K$1)*(K2='ALL 498 CONSOLIDATED NEW'!$K$2:$M$503)*(ISNUMBER(MATCH('ALL 498 CONSOLIDATED NEW'!$G$2:$G$503,Table17131411212415[SCHOOL LIST],0))))</f>
        <v>0</v>
      </c>
      <c r="N2">
        <v>0</v>
      </c>
      <c r="O2">
        <f>M2-N2</f>
        <v>0</v>
      </c>
      <c r="P2" t="s">
        <v>186</v>
      </c>
      <c r="Q2">
        <v>302202001</v>
      </c>
      <c r="R2" cm="1">
        <f t="array" ref="R2">SUMPRODUCT(('ALL 498 CONSOLIDATED NEW'!$N$2:$N$503=P$1)*(P2='ALL 498 CONSOLIDATED NEW'!$K$2:$M$503)*(ISNUMBER(MATCH('ALL 498 CONSOLIDATED NEW'!$G$2:$G$503,Table17131411212415[SCHOOL LIST],0))))</f>
        <v>0</v>
      </c>
      <c r="S2">
        <v>0</v>
      </c>
      <c r="T2">
        <f>R2-S2</f>
        <v>0</v>
      </c>
      <c r="U2" t="s">
        <v>1313</v>
      </c>
      <c r="V2">
        <v>301201999</v>
      </c>
      <c r="W2" cm="1">
        <f t="array" ref="W2">SUMPRODUCT(('ALL 498 CONSOLIDATED NEW'!$N$2:$N$503=U$1)*(U2='ALL 498 CONSOLIDATED NEW'!$K$2:$M$503)*(ISNUMBER(MATCH('ALL 498 CONSOLIDATED NEW'!$G$2:$G$503,Table17131411212415[SCHOOL LIST],0))))</f>
        <v>6</v>
      </c>
      <c r="X2">
        <v>6</v>
      </c>
      <c r="Y2">
        <f>W2-X2</f>
        <v>0</v>
      </c>
      <c r="Z2" t="s">
        <v>1321</v>
      </c>
      <c r="AA2">
        <v>104104009</v>
      </c>
      <c r="AB2" cm="1">
        <f t="array" ref="AB2">SUMPRODUCT(('ALL 498 CONSOLIDATED NEW'!$N$2:$N$503=Z$1)*(Z2='ALL 498 CONSOLIDATED NEW'!$K$2:$M$503)*(ISNUMBER(MATCH('ALL 498 CONSOLIDATED NEW'!$G$2:$G$503,Table17131411212415[SCHOOL LIST],0))))</f>
        <v>2</v>
      </c>
      <c r="AC2">
        <v>2</v>
      </c>
      <c r="AD2">
        <f>AB2-AC2</f>
        <v>0</v>
      </c>
      <c r="AE2" t="s">
        <v>1365</v>
      </c>
      <c r="AF2">
        <v>204301999</v>
      </c>
      <c r="AG2" cm="1">
        <f t="array" ref="AG2">SUMPRODUCT(('ALL 498 CONSOLIDATED NEW'!$N$2:$N$503=AE$1)*(AE2='ALL 498 CONSOLIDATED NEW'!$K$2:$M$503)*(ISNUMBER(MATCH('ALL 498 CONSOLIDATED NEW'!$G$2:$G$503,Table17131411212415[SCHOOL LIST],0))))</f>
        <v>0</v>
      </c>
      <c r="AH2">
        <v>0</v>
      </c>
      <c r="AI2">
        <f>AG2-AH2</f>
        <v>0</v>
      </c>
      <c r="AL2" s="56" t="s">
        <v>46</v>
      </c>
    </row>
    <row r="3" spans="1:41">
      <c r="A3" t="s">
        <v>1753</v>
      </c>
      <c r="B3" t="s">
        <v>1754</v>
      </c>
      <c r="C3" cm="1">
        <f t="array" ref="C3">SUMPRODUCT(('ALL 498 CONSOLIDATED NEW'!$N$2:$N$503=A$1)*(A3='ALL 498 CONSOLIDATED NEW'!$K$2:$M$503)*(ISNUMBER(MATCH('ALL 498 CONSOLIDATED NEW'!$G$2:$G$503,Table17131411212415[SCHOOL LIST],0))))</f>
        <v>0</v>
      </c>
      <c r="D3">
        <v>0</v>
      </c>
      <c r="E3">
        <f t="shared" ref="E3:E22" si="0">C3-D3</f>
        <v>0</v>
      </c>
      <c r="F3" t="s">
        <v>1753</v>
      </c>
      <c r="G3" t="s">
        <v>1755</v>
      </c>
      <c r="H3" cm="1">
        <f t="array" ref="H3">SUMPRODUCT(('ALL 498 CONSOLIDATED NEW'!$N$2:$N$503=F$1)*(F3='ALL 498 CONSOLIDATED NEW'!$K$2:$M$503)*(ISNUMBER(MATCH('ALL 498 CONSOLIDATED NEW'!$G$2:$G$503,Table17131411212415[SCHOOL LIST],0))))</f>
        <v>0</v>
      </c>
      <c r="I3">
        <v>0</v>
      </c>
      <c r="J3">
        <f t="shared" ref="J3:J22" si="1">H3-I3</f>
        <v>0</v>
      </c>
      <c r="K3" t="s">
        <v>1753</v>
      </c>
      <c r="L3">
        <v>105101002</v>
      </c>
      <c r="M3" cm="1">
        <f t="array" ref="M3">SUMPRODUCT(('ALL 498 CONSOLIDATED NEW'!$N$2:$N$503=K$1)*(K3='ALL 498 CONSOLIDATED NEW'!$K$2:$M$503)*(ISNUMBER(MATCH('ALL 498 CONSOLIDATED NEW'!$G$2:$G$503,Table17131411212415[SCHOOL LIST],0))))</f>
        <v>0</v>
      </c>
      <c r="N3">
        <v>0</v>
      </c>
      <c r="O3">
        <f t="shared" ref="O3:O22" si="2">M3-N3</f>
        <v>0</v>
      </c>
      <c r="P3" t="s">
        <v>187</v>
      </c>
      <c r="Q3" t="s">
        <v>1756</v>
      </c>
      <c r="R3" cm="1">
        <f t="array" ref="R3">SUMPRODUCT(('ALL 498 CONSOLIDATED NEW'!$N$2:$N$503=P$1)*(P3='ALL 498 CONSOLIDATED NEW'!$K$2:$M$503)*(ISNUMBER(MATCH('ALL 498 CONSOLIDATED NEW'!$G$2:$G$503,Table17131411212415[SCHOOL LIST],0))))</f>
        <v>0</v>
      </c>
      <c r="S3">
        <v>0</v>
      </c>
      <c r="T3">
        <f>R3-S3</f>
        <v>0</v>
      </c>
      <c r="AL3" s="56" t="s">
        <v>40</v>
      </c>
      <c r="AM3" t="s">
        <v>1291</v>
      </c>
      <c r="AN3" t="s">
        <v>1304</v>
      </c>
      <c r="AO3" t="s">
        <v>1293</v>
      </c>
    </row>
    <row r="4" spans="1:41">
      <c r="A4" t="s">
        <v>109</v>
      </c>
      <c r="B4" t="s">
        <v>1757</v>
      </c>
      <c r="C4" cm="1">
        <f t="array" ref="C4">SUMPRODUCT(('ALL 498 CONSOLIDATED NEW'!$N$2:$N$503=A$1)*(A4='ALL 498 CONSOLIDATED NEW'!$K$2:$M$503)*(ISNUMBER(MATCH('ALL 498 CONSOLIDATED NEW'!$G$2:$G$503,Table17131411212415[SCHOOL LIST],0))))</f>
        <v>0</v>
      </c>
      <c r="D4">
        <v>0</v>
      </c>
      <c r="E4">
        <f t="shared" si="0"/>
        <v>0</v>
      </c>
      <c r="F4" t="s">
        <v>109</v>
      </c>
      <c r="G4" t="s">
        <v>1758</v>
      </c>
      <c r="H4" cm="1">
        <f t="array" ref="H4">SUMPRODUCT(('ALL 498 CONSOLIDATED NEW'!$N$2:$N$503=F$1)*(F4='ALL 498 CONSOLIDATED NEW'!$K$2:$M$503)*(ISNUMBER(MATCH('ALL 498 CONSOLIDATED NEW'!$G$2:$G$503,Table17131411212415[SCHOOL LIST],0))))</f>
        <v>2</v>
      </c>
      <c r="I4">
        <v>2</v>
      </c>
      <c r="J4">
        <f t="shared" si="1"/>
        <v>0</v>
      </c>
      <c r="K4" t="s">
        <v>109</v>
      </c>
      <c r="L4">
        <v>105101003</v>
      </c>
      <c r="M4" cm="1">
        <f t="array" ref="M4">SUMPRODUCT(('ALL 498 CONSOLIDATED NEW'!$N$2:$N$503=K$1)*(K4='ALL 498 CONSOLIDATED NEW'!$K$2:$M$503)*(ISNUMBER(MATCH('ALL 498 CONSOLIDATED NEW'!$G$2:$G$503,Table17131411212415[SCHOOL LIST],0))))</f>
        <v>1</v>
      </c>
      <c r="N4">
        <v>1</v>
      </c>
      <c r="O4">
        <f t="shared" si="2"/>
        <v>0</v>
      </c>
      <c r="AL4" s="56"/>
      <c r="AM4">
        <v>1</v>
      </c>
      <c r="AN4" t="s">
        <v>111</v>
      </c>
      <c r="AO4">
        <f>C22/3</f>
        <v>9</v>
      </c>
    </row>
    <row r="5" spans="1:41">
      <c r="A5" t="s">
        <v>1759</v>
      </c>
      <c r="B5" t="s">
        <v>1760</v>
      </c>
      <c r="C5" cm="1">
        <f t="array" ref="C5">SUMPRODUCT(('ALL 498 CONSOLIDATED NEW'!$N$2:$N$503=A$1)*(A5='ALL 498 CONSOLIDATED NEW'!$K$2:$M$503)*(ISNUMBER(MATCH('ALL 498 CONSOLIDATED NEW'!$G$2:$G$503,Table17131411212415[SCHOOL LIST],0))))</f>
        <v>0</v>
      </c>
      <c r="D5">
        <v>0</v>
      </c>
      <c r="E5">
        <f t="shared" si="0"/>
        <v>0</v>
      </c>
      <c r="F5" t="s">
        <v>1759</v>
      </c>
      <c r="G5" t="s">
        <v>1761</v>
      </c>
      <c r="H5" cm="1">
        <f t="array" ref="H5">SUMPRODUCT(('ALL 498 CONSOLIDATED NEW'!$N$2:$N$503=F$1)*(F5='ALL 498 CONSOLIDATED NEW'!$K$2:$M$503)*(ISNUMBER(MATCH('ALL 498 CONSOLIDATED NEW'!$G$2:$G$503,Table17131411212415[SCHOOL LIST],0))))</f>
        <v>0</v>
      </c>
      <c r="I5">
        <v>0</v>
      </c>
      <c r="J5">
        <f t="shared" si="1"/>
        <v>0</v>
      </c>
      <c r="K5" t="s">
        <v>1759</v>
      </c>
      <c r="L5">
        <v>105101004</v>
      </c>
      <c r="M5" cm="1">
        <f t="array" ref="M5">SUMPRODUCT(('ALL 498 CONSOLIDATED NEW'!$N$2:$N$503=K$1)*(K5='ALL 498 CONSOLIDATED NEW'!$K$2:$M$503)*(ISNUMBER(MATCH('ALL 498 CONSOLIDATED NEW'!$G$2:$G$503,Table17131411212415[SCHOOL LIST],0))))</f>
        <v>0</v>
      </c>
      <c r="N5">
        <v>0</v>
      </c>
      <c r="O5">
        <f t="shared" si="2"/>
        <v>0</v>
      </c>
      <c r="AL5" s="87"/>
      <c r="AM5">
        <v>2</v>
      </c>
      <c r="AN5" t="s">
        <v>162</v>
      </c>
      <c r="AO5">
        <f>H22/3</f>
        <v>6</v>
      </c>
    </row>
    <row r="6" spans="1:41">
      <c r="A6" t="s">
        <v>130</v>
      </c>
      <c r="B6" t="s">
        <v>1762</v>
      </c>
      <c r="C6" cm="1">
        <f t="array" ref="C6">SUMPRODUCT(('ALL 498 CONSOLIDATED NEW'!$N$2:$N$503=A$1)*(A6='ALL 498 CONSOLIDATED NEW'!$K$2:$M$503)*(ISNUMBER(MATCH('ALL 498 CONSOLIDATED NEW'!$G$2:$G$503,Table17131411212415[SCHOOL LIST],0))))</f>
        <v>0</v>
      </c>
      <c r="D6">
        <v>0</v>
      </c>
      <c r="E6">
        <f t="shared" si="0"/>
        <v>0</v>
      </c>
      <c r="F6" t="s">
        <v>130</v>
      </c>
      <c r="G6" t="s">
        <v>1763</v>
      </c>
      <c r="H6" cm="1">
        <f t="array" ref="H6">SUMPRODUCT(('ALL 498 CONSOLIDATED NEW'!$N$2:$N$503=F$1)*(F6='ALL 498 CONSOLIDATED NEW'!$K$2:$M$503)*(ISNUMBER(MATCH('ALL 498 CONSOLIDATED NEW'!$G$2:$G$503,Table17131411212415[SCHOOL LIST],0))))</f>
        <v>0</v>
      </c>
      <c r="I6">
        <v>0</v>
      </c>
      <c r="J6">
        <f t="shared" si="1"/>
        <v>0</v>
      </c>
      <c r="K6" t="s">
        <v>130</v>
      </c>
      <c r="L6">
        <v>105101005</v>
      </c>
      <c r="M6" cm="1">
        <f t="array" ref="M6">SUMPRODUCT(('ALL 498 CONSOLIDATED NEW'!$N$2:$N$503=K$1)*(K6='ALL 498 CONSOLIDATED NEW'!$K$2:$M$503)*(ISNUMBER(MATCH('ALL 498 CONSOLIDATED NEW'!$G$2:$G$503,Table17131411212415[SCHOOL LIST],0))))</f>
        <v>0</v>
      </c>
      <c r="N6">
        <v>0</v>
      </c>
      <c r="O6">
        <f t="shared" si="2"/>
        <v>0</v>
      </c>
      <c r="AL6" s="87"/>
      <c r="AM6">
        <v>3</v>
      </c>
      <c r="AN6" t="s">
        <v>117</v>
      </c>
      <c r="AO6">
        <f>M22/3</f>
        <v>4</v>
      </c>
    </row>
    <row r="7" spans="1:41">
      <c r="A7" t="s">
        <v>443</v>
      </c>
      <c r="B7" t="s">
        <v>1764</v>
      </c>
      <c r="C7" cm="1">
        <f t="array" ref="C7">SUMPRODUCT(('ALL 498 CONSOLIDATED NEW'!$N$2:$N$503=A$1)*(A7='ALL 498 CONSOLIDATED NEW'!$K$2:$M$503)*(ISNUMBER(MATCH('ALL 498 CONSOLIDATED NEW'!$G$2:$G$503,Table17131411212415[SCHOOL LIST],0))))</f>
        <v>0</v>
      </c>
      <c r="D7">
        <v>0</v>
      </c>
      <c r="E7">
        <f t="shared" si="0"/>
        <v>0</v>
      </c>
      <c r="F7" t="s">
        <v>443</v>
      </c>
      <c r="G7" t="s">
        <v>1765</v>
      </c>
      <c r="H7" cm="1">
        <f t="array" ref="H7">SUMPRODUCT(('ALL 498 CONSOLIDATED NEW'!$N$2:$N$503=F$1)*(F7='ALL 498 CONSOLIDATED NEW'!$K$2:$M$503)*(ISNUMBER(MATCH('ALL 498 CONSOLIDATED NEW'!$G$2:$G$503,Table17131411212415[SCHOOL LIST],0))))</f>
        <v>0</v>
      </c>
      <c r="I7">
        <v>0</v>
      </c>
      <c r="J7">
        <f t="shared" si="1"/>
        <v>0</v>
      </c>
      <c r="K7" t="s">
        <v>443</v>
      </c>
      <c r="L7">
        <v>105101006</v>
      </c>
      <c r="M7" cm="1">
        <f t="array" ref="M7">SUMPRODUCT(('ALL 498 CONSOLIDATED NEW'!$N$2:$N$503=K$1)*(K7='ALL 498 CONSOLIDATED NEW'!$K$2:$M$503)*(ISNUMBER(MATCH('ALL 498 CONSOLIDATED NEW'!$G$2:$G$503,Table17131411212415[SCHOOL LIST],0))))</f>
        <v>0</v>
      </c>
      <c r="N7">
        <v>0</v>
      </c>
      <c r="O7">
        <f t="shared" si="2"/>
        <v>0</v>
      </c>
      <c r="AL7" s="87"/>
      <c r="AM7">
        <v>4</v>
      </c>
      <c r="AN7" t="s">
        <v>188</v>
      </c>
      <c r="AO7">
        <f>R22/2</f>
        <v>0</v>
      </c>
    </row>
    <row r="8" spans="1:41">
      <c r="A8" t="s">
        <v>110</v>
      </c>
      <c r="B8" t="s">
        <v>1766</v>
      </c>
      <c r="C8" cm="1">
        <f t="array" ref="C8">SUMPRODUCT(('ALL 498 CONSOLIDATED NEW'!$N$2:$N$503=A$1)*(A8='ALL 498 CONSOLIDATED NEW'!$K$2:$M$503)*(ISNUMBER(MATCH('ALL 498 CONSOLIDATED NEW'!$G$2:$G$503,Table17131411212415[SCHOOL LIST],0))))</f>
        <v>1</v>
      </c>
      <c r="D8">
        <v>1</v>
      </c>
      <c r="E8">
        <f t="shared" si="0"/>
        <v>0</v>
      </c>
      <c r="F8" t="s">
        <v>110</v>
      </c>
      <c r="G8" t="s">
        <v>1767</v>
      </c>
      <c r="H8" cm="1">
        <f t="array" ref="H8">SUMPRODUCT(('ALL 498 CONSOLIDATED NEW'!$N$2:$N$503=F$1)*(F8='ALL 498 CONSOLIDATED NEW'!$K$2:$M$503)*(ISNUMBER(MATCH('ALL 498 CONSOLIDATED NEW'!$G$2:$G$503,Table17131411212415[SCHOOL LIST],0))))</f>
        <v>3</v>
      </c>
      <c r="I8">
        <v>3</v>
      </c>
      <c r="J8">
        <f t="shared" si="1"/>
        <v>0</v>
      </c>
      <c r="K8" t="s">
        <v>110</v>
      </c>
      <c r="L8">
        <v>105101007</v>
      </c>
      <c r="M8" cm="1">
        <f t="array" ref="M8">SUMPRODUCT(('ALL 498 CONSOLIDATED NEW'!$N$2:$N$503=K$1)*(K8='ALL 498 CONSOLIDATED NEW'!$K$2:$M$503)*(ISNUMBER(MATCH('ALL 498 CONSOLIDATED NEW'!$G$2:$G$503,Table17131411212415[SCHOOL LIST],0))))</f>
        <v>1</v>
      </c>
      <c r="N8">
        <v>1</v>
      </c>
      <c r="O8">
        <f t="shared" si="2"/>
        <v>0</v>
      </c>
      <c r="AL8" s="56"/>
      <c r="AM8">
        <v>5</v>
      </c>
      <c r="AN8" t="s">
        <v>16</v>
      </c>
      <c r="AO8">
        <f>W22/2</f>
        <v>3</v>
      </c>
    </row>
    <row r="9" spans="1:41">
      <c r="A9" t="s">
        <v>108</v>
      </c>
      <c r="B9" t="s">
        <v>1768</v>
      </c>
      <c r="C9" cm="1">
        <f t="array" ref="C9">SUMPRODUCT(('ALL 498 CONSOLIDATED NEW'!$N$2:$N$503=A$1)*(A9='ALL 498 CONSOLIDATED NEW'!$K$2:$M$503)*(ISNUMBER(MATCH('ALL 498 CONSOLIDATED NEW'!$G$2:$G$503,Table17131411212415[SCHOOL LIST],0))))</f>
        <v>4</v>
      </c>
      <c r="D9">
        <v>4</v>
      </c>
      <c r="E9">
        <f t="shared" si="0"/>
        <v>0</v>
      </c>
      <c r="F9" t="s">
        <v>108</v>
      </c>
      <c r="G9" t="s">
        <v>1769</v>
      </c>
      <c r="H9" cm="1">
        <f t="array" ref="H9">SUMPRODUCT(('ALL 498 CONSOLIDATED NEW'!$N$2:$N$503=F$1)*(F9='ALL 498 CONSOLIDATED NEW'!$K$2:$M$503)*(ISNUMBER(MATCH('ALL 498 CONSOLIDATED NEW'!$G$2:$G$503,Table17131411212415[SCHOOL LIST],0))))</f>
        <v>3</v>
      </c>
      <c r="I9">
        <v>3</v>
      </c>
      <c r="J9">
        <f t="shared" si="1"/>
        <v>0</v>
      </c>
      <c r="K9" t="s">
        <v>108</v>
      </c>
      <c r="L9">
        <v>105101008</v>
      </c>
      <c r="M9" cm="1">
        <f t="array" ref="M9">SUMPRODUCT(('ALL 498 CONSOLIDATED NEW'!$N$2:$N$503=K$1)*(K9='ALL 498 CONSOLIDATED NEW'!$K$2:$M$503)*(ISNUMBER(MATCH('ALL 498 CONSOLIDATED NEW'!$G$2:$G$503,Table17131411212415[SCHOOL LIST],0))))</f>
        <v>4</v>
      </c>
      <c r="N9">
        <v>4</v>
      </c>
      <c r="O9">
        <f t="shared" si="2"/>
        <v>0</v>
      </c>
      <c r="AL9" s="56"/>
      <c r="AM9">
        <v>6</v>
      </c>
      <c r="AN9" t="s">
        <v>122</v>
      </c>
      <c r="AO9">
        <f>AB22</f>
        <v>2</v>
      </c>
    </row>
    <row r="10" spans="1:41">
      <c r="A10" t="s">
        <v>250</v>
      </c>
      <c r="B10" t="s">
        <v>1770</v>
      </c>
      <c r="C10" cm="1">
        <f t="array" ref="C10">SUMPRODUCT(('ALL 498 CONSOLIDATED NEW'!$N$2:$N$503=A$1)*(A10='ALL 498 CONSOLIDATED NEW'!$K$2:$M$503)*(ISNUMBER(MATCH('ALL 498 CONSOLIDATED NEW'!$G$2:$G$503,Table17131411212415[SCHOOL LIST],0))))</f>
        <v>0</v>
      </c>
      <c r="D10">
        <v>0</v>
      </c>
      <c r="E10">
        <f t="shared" si="0"/>
        <v>0</v>
      </c>
      <c r="F10" t="s">
        <v>250</v>
      </c>
      <c r="G10" t="s">
        <v>1771</v>
      </c>
      <c r="H10" cm="1">
        <f t="array" ref="H10">SUMPRODUCT(('ALL 498 CONSOLIDATED NEW'!$N$2:$N$503=F$1)*(F10='ALL 498 CONSOLIDATED NEW'!$K$2:$M$503)*(ISNUMBER(MATCH('ALL 498 CONSOLIDATED NEW'!$G$2:$G$503,Table17131411212415[SCHOOL LIST],0))))</f>
        <v>0</v>
      </c>
      <c r="I10">
        <v>0</v>
      </c>
      <c r="J10">
        <f t="shared" si="1"/>
        <v>0</v>
      </c>
      <c r="K10" t="s">
        <v>250</v>
      </c>
      <c r="L10">
        <v>105101009</v>
      </c>
      <c r="M10" cm="1">
        <f t="array" ref="M10">SUMPRODUCT(('ALL 498 CONSOLIDATED NEW'!$N$2:$N$503=K$1)*(K10='ALL 498 CONSOLIDATED NEW'!$K$2:$M$503)*(ISNUMBER(MATCH('ALL 498 CONSOLIDATED NEW'!$G$2:$G$503,Table17131411212415[SCHOOL LIST],0))))</f>
        <v>0</v>
      </c>
      <c r="N10">
        <v>0</v>
      </c>
      <c r="O10">
        <f t="shared" si="2"/>
        <v>0</v>
      </c>
      <c r="AL10" s="56"/>
      <c r="AM10">
        <v>7</v>
      </c>
      <c r="AN10" t="s">
        <v>12</v>
      </c>
      <c r="AO10">
        <f>AG22</f>
        <v>0</v>
      </c>
    </row>
    <row r="11" spans="1:41">
      <c r="A11" t="s">
        <v>135</v>
      </c>
      <c r="B11" t="s">
        <v>1772</v>
      </c>
      <c r="C11" cm="1">
        <f t="array" ref="C11">SUMPRODUCT(('ALL 498 CONSOLIDATED NEW'!$N$2:$N$503=A$1)*(A11='ALL 498 CONSOLIDATED NEW'!$K$2:$M$503)*(ISNUMBER(MATCH('ALL 498 CONSOLIDATED NEW'!$G$2:$G$503,Table17131411212415[SCHOOL LIST],0))))</f>
        <v>7</v>
      </c>
      <c r="D11">
        <v>7</v>
      </c>
      <c r="E11">
        <f t="shared" si="0"/>
        <v>0</v>
      </c>
      <c r="F11" t="s">
        <v>135</v>
      </c>
      <c r="G11" t="s">
        <v>1773</v>
      </c>
      <c r="H11" cm="1">
        <f t="array" ref="H11">SUMPRODUCT(('ALL 498 CONSOLIDATED NEW'!$N$2:$N$503=F$1)*(F11='ALL 498 CONSOLIDATED NEW'!$K$2:$M$503)*(ISNUMBER(MATCH('ALL 498 CONSOLIDATED NEW'!$G$2:$G$503,Table17131411212415[SCHOOL LIST],0))))</f>
        <v>3</v>
      </c>
      <c r="I11">
        <v>3</v>
      </c>
      <c r="J11">
        <f t="shared" si="1"/>
        <v>0</v>
      </c>
      <c r="K11" t="s">
        <v>135</v>
      </c>
      <c r="L11">
        <v>105101010</v>
      </c>
      <c r="M11" cm="1">
        <f t="array" ref="M11">SUMPRODUCT(('ALL 498 CONSOLIDATED NEW'!$N$2:$N$503=K$1)*(K11='ALL 498 CONSOLIDATED NEW'!$K$2:$M$503)*(ISNUMBER(MATCH('ALL 498 CONSOLIDATED NEW'!$G$2:$G$503,Table17131411212415[SCHOOL LIST],0))))</f>
        <v>3</v>
      </c>
      <c r="N11">
        <v>3</v>
      </c>
      <c r="O11">
        <f t="shared" si="2"/>
        <v>0</v>
      </c>
      <c r="AL11" s="56"/>
      <c r="AN11" s="99" t="s">
        <v>1774</v>
      </c>
      <c r="AO11">
        <f>SUM(AO4:AO10)</f>
        <v>24</v>
      </c>
    </row>
    <row r="12" spans="1:41">
      <c r="A12" t="s">
        <v>150</v>
      </c>
      <c r="B12" t="s">
        <v>1775</v>
      </c>
      <c r="C12" cm="1">
        <f t="array" ref="C12">SUMPRODUCT(('ALL 498 CONSOLIDATED NEW'!$N$2:$N$503=A$1)*(A12='ALL 498 CONSOLIDATED NEW'!$K$2:$M$503)*(ISNUMBER(MATCH('ALL 498 CONSOLIDATED NEW'!$G$2:$G$503,Table17131411212415[SCHOOL LIST],0))))</f>
        <v>2</v>
      </c>
      <c r="D12">
        <v>2</v>
      </c>
      <c r="E12">
        <f t="shared" si="0"/>
        <v>0</v>
      </c>
      <c r="F12" t="s">
        <v>150</v>
      </c>
      <c r="G12" t="s">
        <v>1776</v>
      </c>
      <c r="H12" cm="1">
        <f t="array" ref="H12">SUMPRODUCT(('ALL 498 CONSOLIDATED NEW'!$N$2:$N$503=F$1)*(F12='ALL 498 CONSOLIDATED NEW'!$K$2:$M$503)*(ISNUMBER(MATCH('ALL 498 CONSOLIDATED NEW'!$G$2:$G$503,Table17131411212415[SCHOOL LIST],0))))</f>
        <v>0</v>
      </c>
      <c r="I12">
        <v>0</v>
      </c>
      <c r="J12">
        <f t="shared" si="1"/>
        <v>0</v>
      </c>
      <c r="K12" t="s">
        <v>150</v>
      </c>
      <c r="L12">
        <v>105101011</v>
      </c>
      <c r="M12" cm="1">
        <f t="array" ref="M12">SUMPRODUCT(('ALL 498 CONSOLIDATED NEW'!$N$2:$N$503=K$1)*(K12='ALL 498 CONSOLIDATED NEW'!$K$2:$M$503)*(ISNUMBER(MATCH('ALL 498 CONSOLIDATED NEW'!$G$2:$G$503,Table17131411212415[SCHOOL LIST],0))))</f>
        <v>0</v>
      </c>
      <c r="N12">
        <v>0</v>
      </c>
      <c r="O12">
        <f t="shared" si="2"/>
        <v>0</v>
      </c>
      <c r="AL12" s="56"/>
      <c r="AN12" s="99" t="s">
        <v>1777</v>
      </c>
      <c r="AO12">
        <f>SUM(AO4:AO9)</f>
        <v>24</v>
      </c>
    </row>
    <row r="13" spans="1:41">
      <c r="A13" t="s">
        <v>846</v>
      </c>
      <c r="B13" t="s">
        <v>1778</v>
      </c>
      <c r="C13" cm="1">
        <f t="array" ref="C13">SUMPRODUCT(('ALL 498 CONSOLIDATED NEW'!$N$2:$N$503=A$1)*(A13='ALL 498 CONSOLIDATED NEW'!$K$2:$M$503)*(ISNUMBER(MATCH('ALL 498 CONSOLIDATED NEW'!$G$2:$G$503,Table17131411212415[SCHOOL LIST],0))))</f>
        <v>0</v>
      </c>
      <c r="D13">
        <v>0</v>
      </c>
      <c r="E13">
        <f t="shared" si="0"/>
        <v>0</v>
      </c>
      <c r="F13" t="s">
        <v>846</v>
      </c>
      <c r="G13" t="s">
        <v>1779</v>
      </c>
      <c r="H13" cm="1">
        <f t="array" ref="H13">SUMPRODUCT(('ALL 498 CONSOLIDATED NEW'!$N$2:$N$503=F$1)*(F13='ALL 498 CONSOLIDATED NEW'!$K$2:$M$503)*(ISNUMBER(MATCH('ALL 498 CONSOLIDATED NEW'!$G$2:$G$503,Table17131411212415[SCHOOL LIST],0))))</f>
        <v>0</v>
      </c>
      <c r="I13">
        <v>0</v>
      </c>
      <c r="J13">
        <f t="shared" si="1"/>
        <v>0</v>
      </c>
      <c r="K13" t="s">
        <v>846</v>
      </c>
      <c r="L13">
        <v>105101012</v>
      </c>
      <c r="M13" cm="1">
        <f t="array" ref="M13">SUMPRODUCT(('ALL 498 CONSOLIDATED NEW'!$N$2:$N$503=K$1)*(K13='ALL 498 CONSOLIDATED NEW'!$K$2:$M$503)*(ISNUMBER(MATCH('ALL 498 CONSOLIDATED NEW'!$G$2:$G$503,Table17131411212415[SCHOOL LIST],0))))</f>
        <v>0</v>
      </c>
      <c r="N13">
        <v>0</v>
      </c>
      <c r="O13">
        <f t="shared" si="2"/>
        <v>0</v>
      </c>
      <c r="AL13" s="98"/>
    </row>
    <row r="14" spans="1:41">
      <c r="A14" t="s">
        <v>251</v>
      </c>
      <c r="B14" t="s">
        <v>1780</v>
      </c>
      <c r="C14" cm="1">
        <f t="array" ref="C14">SUMPRODUCT(('ALL 498 CONSOLIDATED NEW'!$N$2:$N$503=A$1)*(A14='ALL 498 CONSOLIDATED NEW'!$K$2:$M$503)*(ISNUMBER(MATCH('ALL 498 CONSOLIDATED NEW'!$G$2:$G$503,Table17131411212415[SCHOOL LIST],0))))</f>
        <v>0</v>
      </c>
      <c r="D14">
        <v>0</v>
      </c>
      <c r="E14">
        <f t="shared" si="0"/>
        <v>0</v>
      </c>
      <c r="F14" t="s">
        <v>251</v>
      </c>
      <c r="G14" t="s">
        <v>1781</v>
      </c>
      <c r="H14" cm="1">
        <f t="array" ref="H14">SUMPRODUCT(('ALL 498 CONSOLIDATED NEW'!$N$2:$N$503=F$1)*(F14='ALL 498 CONSOLIDATED NEW'!$K$2:$M$503)*(ISNUMBER(MATCH('ALL 498 CONSOLIDATED NEW'!$G$2:$G$503,Table17131411212415[SCHOOL LIST],0))))</f>
        <v>0</v>
      </c>
      <c r="I14">
        <v>0</v>
      </c>
      <c r="J14">
        <f t="shared" si="1"/>
        <v>0</v>
      </c>
      <c r="K14" t="s">
        <v>251</v>
      </c>
      <c r="L14">
        <v>105101013</v>
      </c>
      <c r="M14" cm="1">
        <f t="array" ref="M14">SUMPRODUCT(('ALL 498 CONSOLIDATED NEW'!$N$2:$N$503=K$1)*(K14='ALL 498 CONSOLIDATED NEW'!$K$2:$M$503)*(ISNUMBER(MATCH('ALL 498 CONSOLIDATED NEW'!$G$2:$G$503,Table17131411212415[SCHOOL LIST],0))))</f>
        <v>0</v>
      </c>
      <c r="N14">
        <v>0</v>
      </c>
      <c r="O14">
        <f t="shared" si="2"/>
        <v>0</v>
      </c>
    </row>
    <row r="15" spans="1:41">
      <c r="A15" t="s">
        <v>136</v>
      </c>
      <c r="B15" t="s">
        <v>1782</v>
      </c>
      <c r="C15" cm="1">
        <f t="array" ref="C15">SUMPRODUCT(('ALL 498 CONSOLIDATED NEW'!$N$2:$N$503=A$1)*(A15='ALL 498 CONSOLIDATED NEW'!$K$2:$M$503)*(ISNUMBER(MATCH('ALL 498 CONSOLIDATED NEW'!$G$2:$G$503,Table17131411212415[SCHOOL LIST],0))))</f>
        <v>5</v>
      </c>
      <c r="D15">
        <v>5</v>
      </c>
      <c r="E15">
        <f t="shared" si="0"/>
        <v>0</v>
      </c>
      <c r="F15" t="s">
        <v>136</v>
      </c>
      <c r="G15" t="s">
        <v>1783</v>
      </c>
      <c r="H15" cm="1">
        <f t="array" ref="H15">SUMPRODUCT(('ALL 498 CONSOLIDATED NEW'!$N$2:$N$503=F$1)*(F15='ALL 498 CONSOLIDATED NEW'!$K$2:$M$503)*(ISNUMBER(MATCH('ALL 498 CONSOLIDATED NEW'!$G$2:$G$503,Table17131411212415[SCHOOL LIST],0))))</f>
        <v>0</v>
      </c>
      <c r="I15">
        <v>0</v>
      </c>
      <c r="J15">
        <f t="shared" si="1"/>
        <v>0</v>
      </c>
      <c r="K15" t="s">
        <v>136</v>
      </c>
      <c r="L15">
        <v>105101014</v>
      </c>
      <c r="M15" cm="1">
        <f t="array" ref="M15">SUMPRODUCT(('ALL 498 CONSOLIDATED NEW'!$N$2:$N$503=K$1)*(K15='ALL 498 CONSOLIDATED NEW'!$K$2:$M$503)*(ISNUMBER(MATCH('ALL 498 CONSOLIDATED NEW'!$G$2:$G$503,Table17131411212415[SCHOOL LIST],0))))</f>
        <v>0</v>
      </c>
      <c r="N15">
        <v>0</v>
      </c>
      <c r="O15">
        <f t="shared" si="2"/>
        <v>0</v>
      </c>
    </row>
    <row r="16" spans="1:41">
      <c r="A16" t="s">
        <v>198</v>
      </c>
      <c r="B16" t="s">
        <v>1784</v>
      </c>
      <c r="C16" cm="1">
        <f t="array" ref="C16">SUMPRODUCT(('ALL 498 CONSOLIDATED NEW'!$N$2:$N$503=A$1)*(A16='ALL 498 CONSOLIDATED NEW'!$K$2:$M$503)*(ISNUMBER(MATCH('ALL 498 CONSOLIDATED NEW'!$G$2:$G$503,Table17131411212415[SCHOOL LIST],0))))</f>
        <v>4</v>
      </c>
      <c r="D16">
        <v>4</v>
      </c>
      <c r="E16">
        <f t="shared" si="0"/>
        <v>0</v>
      </c>
      <c r="F16" t="s">
        <v>198</v>
      </c>
      <c r="G16" t="s">
        <v>1785</v>
      </c>
      <c r="H16" cm="1">
        <f t="array" ref="H16">SUMPRODUCT(('ALL 498 CONSOLIDATED NEW'!$N$2:$N$503=F$1)*(F16='ALL 498 CONSOLIDATED NEW'!$K$2:$M$503)*(ISNUMBER(MATCH('ALL 498 CONSOLIDATED NEW'!$G$2:$G$503,Table17131411212415[SCHOOL LIST],0))))</f>
        <v>3</v>
      </c>
      <c r="I16">
        <v>3</v>
      </c>
      <c r="J16">
        <f t="shared" si="1"/>
        <v>0</v>
      </c>
      <c r="K16" t="s">
        <v>198</v>
      </c>
      <c r="L16">
        <v>105101015</v>
      </c>
      <c r="M16" cm="1">
        <f t="array" ref="M16">SUMPRODUCT(('ALL 498 CONSOLIDATED NEW'!$N$2:$N$503=K$1)*(K16='ALL 498 CONSOLIDATED NEW'!$K$2:$M$503)*(ISNUMBER(MATCH('ALL 498 CONSOLIDATED NEW'!$G$2:$G$503,Table17131411212415[SCHOOL LIST],0))))</f>
        <v>3</v>
      </c>
      <c r="N16">
        <v>3</v>
      </c>
      <c r="O16">
        <f t="shared" si="2"/>
        <v>0</v>
      </c>
    </row>
    <row r="17" spans="1:37">
      <c r="A17" t="s">
        <v>200</v>
      </c>
      <c r="B17" t="s">
        <v>1786</v>
      </c>
      <c r="C17" cm="1">
        <f t="array" ref="C17">SUMPRODUCT(('ALL 498 CONSOLIDATED NEW'!$N$2:$N$503=A$1)*(A17='ALL 498 CONSOLIDATED NEW'!$K$2:$M$503)*(ISNUMBER(MATCH('ALL 498 CONSOLIDATED NEW'!$G$2:$G$503,Table17131411212415[SCHOOL LIST],0))))</f>
        <v>1</v>
      </c>
      <c r="D17">
        <v>1</v>
      </c>
      <c r="E17">
        <f t="shared" si="0"/>
        <v>0</v>
      </c>
      <c r="F17" t="s">
        <v>200</v>
      </c>
      <c r="G17" t="s">
        <v>1787</v>
      </c>
      <c r="H17" cm="1">
        <f t="array" ref="H17">SUMPRODUCT(('ALL 498 CONSOLIDATED NEW'!$N$2:$N$503=F$1)*(F17='ALL 498 CONSOLIDATED NEW'!$K$2:$M$503)*(ISNUMBER(MATCH('ALL 498 CONSOLIDATED NEW'!$G$2:$G$503,Table17131411212415[SCHOOL LIST],0))))</f>
        <v>0</v>
      </c>
      <c r="I17">
        <v>0</v>
      </c>
      <c r="J17">
        <f t="shared" si="1"/>
        <v>0</v>
      </c>
      <c r="K17" t="s">
        <v>200</v>
      </c>
      <c r="L17">
        <v>105101016</v>
      </c>
      <c r="M17" cm="1">
        <f t="array" ref="M17">SUMPRODUCT(('ALL 498 CONSOLIDATED NEW'!$N$2:$N$503=K$1)*(K17='ALL 498 CONSOLIDATED NEW'!$K$2:$M$503)*(ISNUMBER(MATCH('ALL 498 CONSOLIDATED NEW'!$G$2:$G$503,Table17131411212415[SCHOOL LIST],0))))</f>
        <v>0</v>
      </c>
      <c r="N17">
        <v>0</v>
      </c>
      <c r="O17">
        <f t="shared" si="2"/>
        <v>0</v>
      </c>
    </row>
    <row r="18" spans="1:37">
      <c r="A18" t="s">
        <v>1788</v>
      </c>
      <c r="B18" t="s">
        <v>1789</v>
      </c>
      <c r="C18" cm="1">
        <f t="array" ref="C18">SUMPRODUCT(('ALL 498 CONSOLIDATED NEW'!$N$2:$N$503=A$1)*(A18='ALL 498 CONSOLIDATED NEW'!$K$2:$M$503)*(ISNUMBER(MATCH('ALL 498 CONSOLIDATED NEW'!$G$2:$G$503,Table17131411212415[SCHOOL LIST],0))))</f>
        <v>0</v>
      </c>
      <c r="D18">
        <v>0</v>
      </c>
      <c r="E18">
        <f t="shared" si="0"/>
        <v>0</v>
      </c>
      <c r="F18" t="s">
        <v>1788</v>
      </c>
      <c r="G18" t="s">
        <v>1790</v>
      </c>
      <c r="H18" cm="1">
        <f t="array" ref="H18">SUMPRODUCT(('ALL 498 CONSOLIDATED NEW'!$N$2:$N$503=F$1)*(F18='ALL 498 CONSOLIDATED NEW'!$K$2:$M$503)*(ISNUMBER(MATCH('ALL 498 CONSOLIDATED NEW'!$G$2:$G$503,Table17131411212415[SCHOOL LIST],0))))</f>
        <v>0</v>
      </c>
      <c r="I18">
        <v>0</v>
      </c>
      <c r="J18">
        <f t="shared" si="1"/>
        <v>0</v>
      </c>
      <c r="K18" t="s">
        <v>1788</v>
      </c>
      <c r="L18">
        <v>105101017</v>
      </c>
      <c r="M18" cm="1">
        <f t="array" ref="M18">SUMPRODUCT(('ALL 498 CONSOLIDATED NEW'!$N$2:$N$503=K$1)*(K18='ALL 498 CONSOLIDATED NEW'!$K$2:$M$503)*(ISNUMBER(MATCH('ALL 498 CONSOLIDATED NEW'!$G$2:$G$503,Table17131411212415[SCHOOL LIST],0))))</f>
        <v>0</v>
      </c>
      <c r="N18">
        <v>0</v>
      </c>
      <c r="O18">
        <f t="shared" si="2"/>
        <v>0</v>
      </c>
    </row>
    <row r="19" spans="1:37">
      <c r="A19" t="s">
        <v>315</v>
      </c>
      <c r="B19" t="s">
        <v>1791</v>
      </c>
      <c r="C19" cm="1">
        <f t="array" ref="C19">SUMPRODUCT(('ALL 498 CONSOLIDATED NEW'!$N$2:$N$503=A$1)*(A19='ALL 498 CONSOLIDATED NEW'!$K$2:$M$503)*(ISNUMBER(MATCH('ALL 498 CONSOLIDATED NEW'!$G$2:$G$503,Table17131411212415[SCHOOL LIST],0))))</f>
        <v>0</v>
      </c>
      <c r="D19">
        <v>0</v>
      </c>
      <c r="E19">
        <f t="shared" si="0"/>
        <v>0</v>
      </c>
      <c r="F19" t="s">
        <v>315</v>
      </c>
      <c r="G19" t="s">
        <v>1792</v>
      </c>
      <c r="H19" cm="1">
        <f t="array" ref="H19">SUMPRODUCT(('ALL 498 CONSOLIDATED NEW'!$N$2:$N$503=F$1)*(F19='ALL 498 CONSOLIDATED NEW'!$K$2:$M$503)*(ISNUMBER(MATCH('ALL 498 CONSOLIDATED NEW'!$G$2:$G$503,Table17131411212415[SCHOOL LIST],0))))</f>
        <v>0</v>
      </c>
      <c r="I19">
        <v>0</v>
      </c>
      <c r="J19">
        <f t="shared" si="1"/>
        <v>0</v>
      </c>
      <c r="K19" t="s">
        <v>315</v>
      </c>
      <c r="L19">
        <v>105101018</v>
      </c>
      <c r="M19" cm="1">
        <f t="array" ref="M19">SUMPRODUCT(('ALL 498 CONSOLIDATED NEW'!$N$2:$N$503=K$1)*(K19='ALL 498 CONSOLIDATED NEW'!$K$2:$M$503)*(ISNUMBER(MATCH('ALL 498 CONSOLIDATED NEW'!$G$2:$G$503,Table17131411212415[SCHOOL LIST],0))))</f>
        <v>0</v>
      </c>
      <c r="N19">
        <v>0</v>
      </c>
      <c r="O19">
        <f t="shared" si="2"/>
        <v>0</v>
      </c>
    </row>
    <row r="20" spans="1:37">
      <c r="A20" t="s">
        <v>199</v>
      </c>
      <c r="B20" t="s">
        <v>1793</v>
      </c>
      <c r="C20" cm="1">
        <f t="array" ref="C20">SUMPRODUCT(('ALL 498 CONSOLIDATED NEW'!$N$2:$N$503=A$1)*(A20='ALL 498 CONSOLIDATED NEW'!$K$2:$M$503)*(ISNUMBER(MATCH('ALL 498 CONSOLIDATED NEW'!$G$2:$G$503,Table17131411212415[SCHOOL LIST],0))))</f>
        <v>2</v>
      </c>
      <c r="D20">
        <v>2</v>
      </c>
      <c r="E20">
        <f t="shared" si="0"/>
        <v>0</v>
      </c>
      <c r="F20" t="s">
        <v>199</v>
      </c>
      <c r="G20" t="s">
        <v>1794</v>
      </c>
      <c r="H20" cm="1">
        <f t="array" ref="H20">SUMPRODUCT(('ALL 498 CONSOLIDATED NEW'!$N$2:$N$503=F$1)*(F20='ALL 498 CONSOLIDATED NEW'!$K$2:$M$503)*(ISNUMBER(MATCH('ALL 498 CONSOLIDATED NEW'!$G$2:$G$503,Table17131411212415[SCHOOL LIST],0))))</f>
        <v>1</v>
      </c>
      <c r="I20">
        <v>1</v>
      </c>
      <c r="J20">
        <f t="shared" si="1"/>
        <v>0</v>
      </c>
      <c r="K20" t="s">
        <v>199</v>
      </c>
      <c r="L20">
        <v>105101019</v>
      </c>
      <c r="M20" cm="1">
        <f t="array" ref="M20">SUMPRODUCT(('ALL 498 CONSOLIDATED NEW'!$N$2:$N$503=K$1)*(K20='ALL 498 CONSOLIDATED NEW'!$K$2:$M$503)*(ISNUMBER(MATCH('ALL 498 CONSOLIDATED NEW'!$G$2:$G$503,Table17131411212415[SCHOOL LIST],0))))</f>
        <v>0</v>
      </c>
      <c r="N20">
        <v>0</v>
      </c>
      <c r="O20">
        <f t="shared" si="2"/>
        <v>0</v>
      </c>
    </row>
    <row r="21" spans="1:37">
      <c r="A21" t="s">
        <v>635</v>
      </c>
      <c r="B21" t="s">
        <v>1795</v>
      </c>
      <c r="C21" cm="1">
        <f t="array" ref="C21">SUMPRODUCT(('ALL 498 CONSOLIDATED NEW'!$N$2:$N$503=A$1)*(A21='ALL 498 CONSOLIDATED NEW'!$K$2:$M$503)*(ISNUMBER(MATCH('ALL 498 CONSOLIDATED NEW'!$G$2:$G$503,Table17131411212415[SCHOOL LIST],0))))</f>
        <v>0</v>
      </c>
      <c r="D21">
        <v>0</v>
      </c>
      <c r="E21">
        <f t="shared" si="0"/>
        <v>0</v>
      </c>
      <c r="F21" t="s">
        <v>635</v>
      </c>
      <c r="G21" t="s">
        <v>1796</v>
      </c>
      <c r="H21" cm="1">
        <f t="array" ref="H21">SUMPRODUCT(('ALL 498 CONSOLIDATED NEW'!$N$2:$N$503=F$1)*(F21='ALL 498 CONSOLIDATED NEW'!$K$2:$M$503)*(ISNUMBER(MATCH('ALL 498 CONSOLIDATED NEW'!$G$2:$G$503,Table17131411212415[SCHOOL LIST],0))))</f>
        <v>0</v>
      </c>
      <c r="I21">
        <v>0</v>
      </c>
      <c r="J21">
        <f t="shared" si="1"/>
        <v>0</v>
      </c>
      <c r="K21" t="s">
        <v>635</v>
      </c>
      <c r="L21">
        <v>105101020</v>
      </c>
      <c r="M21" cm="1">
        <f t="array" ref="M21">SUMPRODUCT(('ALL 498 CONSOLIDATED NEW'!$N$2:$N$503=K$1)*(K21='ALL 498 CONSOLIDATED NEW'!$K$2:$M$503)*(ISNUMBER(MATCH('ALL 498 CONSOLIDATED NEW'!$G$2:$G$503,Table17131411212415[SCHOOL LIST],0))))</f>
        <v>0</v>
      </c>
      <c r="N21">
        <v>0</v>
      </c>
      <c r="O21">
        <f t="shared" si="2"/>
        <v>0</v>
      </c>
    </row>
    <row r="22" spans="1:37" s="20" customFormat="1" ht="30.75">
      <c r="B22" s="20" t="str">
        <f>A1</f>
        <v>Palm Pen Holder</v>
      </c>
      <c r="C22" s="20">
        <f>SUM(C2:C21)</f>
        <v>27</v>
      </c>
      <c r="D22">
        <f>SUM(D2:D21)</f>
        <v>27</v>
      </c>
      <c r="E22">
        <f t="shared" si="0"/>
        <v>0</v>
      </c>
      <c r="G22" s="20" t="str">
        <f>F1</f>
        <v>TOOTH  BRUSH ADAPTER</v>
      </c>
      <c r="H22" s="20">
        <f>SUM(H2:H21)</f>
        <v>18</v>
      </c>
      <c r="I22" s="20">
        <f>SUM(I2:I21)</f>
        <v>18</v>
      </c>
      <c r="J22">
        <f t="shared" si="1"/>
        <v>0</v>
      </c>
      <c r="L22" s="20" t="str">
        <f>K1</f>
        <v>Utensil Holder</v>
      </c>
      <c r="M22" s="20">
        <f>SUM(M2:M21)</f>
        <v>12</v>
      </c>
      <c r="N22" s="20">
        <f>SUM(N2:N21)</f>
        <v>12</v>
      </c>
      <c r="O22">
        <f t="shared" si="2"/>
        <v>0</v>
      </c>
      <c r="Q22" s="20" t="str">
        <f>P1</f>
        <v>Reading Bar - Curved</v>
      </c>
      <c r="R22" s="20">
        <f>SUM(R2:R21)</f>
        <v>0</v>
      </c>
      <c r="S22" s="20">
        <f>SUM(S2:S3)</f>
        <v>0</v>
      </c>
      <c r="T22">
        <f t="shared" ref="T22" si="3">R22-S22</f>
        <v>0</v>
      </c>
      <c r="V22" s="20" t="str">
        <f>U1</f>
        <v>Assistive Pencil Grip</v>
      </c>
      <c r="W22" s="20">
        <f>SUM(W2:W21)</f>
        <v>6</v>
      </c>
      <c r="X22" s="20">
        <f>SUM(X2:X3)</f>
        <v>6</v>
      </c>
      <c r="Y22" s="20">
        <f t="shared" ref="Y22" si="4">W22-X22</f>
        <v>0</v>
      </c>
      <c r="AA22" s="20" t="str">
        <f>Z1</f>
        <v>Button Aid</v>
      </c>
      <c r="AB22" s="20">
        <f>SUM(AB2:AB21)</f>
        <v>2</v>
      </c>
      <c r="AC22" s="20">
        <f>SUM(AC2:AC3)</f>
        <v>2</v>
      </c>
      <c r="AD22" s="20">
        <f t="shared" ref="AD22" si="5">AB22-AC22</f>
        <v>0</v>
      </c>
      <c r="AF22" s="20" t="str">
        <f>AE1</f>
        <v>LOW PROFILE SWITCH</v>
      </c>
      <c r="AG22" s="20">
        <f>SUM(AG2:AG21)</f>
        <v>0</v>
      </c>
      <c r="AH22" s="20">
        <f>SUM(AH2:AH3)</f>
        <v>0</v>
      </c>
      <c r="AI22" s="20">
        <f t="shared" ref="AI22" si="6">AG22-AH22</f>
        <v>0</v>
      </c>
      <c r="AJ22" s="20">
        <f>SUM(AG22,C22,H22,M22,R22,W22,AB22)</f>
        <v>65</v>
      </c>
      <c r="AK22" s="20" t="s">
        <v>1774</v>
      </c>
    </row>
    <row r="23" spans="1:37">
      <c r="AJ23">
        <f>SUM(C22,H22,M22,R22,W22,AB22)</f>
        <v>65</v>
      </c>
      <c r="AK23" t="s">
        <v>1797</v>
      </c>
    </row>
    <row r="24" spans="1:37">
      <c r="AJ24" s="113">
        <f>SUM(E22,J22,O22,T22,Y22,AD22)</f>
        <v>0</v>
      </c>
      <c r="AK24" s="113" t="s">
        <v>1798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B906-D827-4509-AEDD-FBB01900F726}">
  <dimension ref="A1:AO24"/>
  <sheetViews>
    <sheetView workbookViewId="0">
      <pane ySplit="1" topLeftCell="E13" activePane="bottomLeft" state="frozen"/>
      <selection pane="bottomLeft" activeCell="V22" sqref="V22"/>
    </sheetView>
  </sheetViews>
  <sheetFormatPr defaultRowHeight="15"/>
  <cols>
    <col min="2" max="2" width="10" customWidth="1"/>
    <col min="3" max="5" width="4.42578125" customWidth="1"/>
    <col min="7" max="7" width="10.140625" customWidth="1"/>
    <col min="8" max="10" width="5.28515625" customWidth="1"/>
    <col min="12" max="12" width="10.85546875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 ht="45.75">
      <c r="A1" s="20" t="s">
        <v>111</v>
      </c>
      <c r="C1" s="20" t="s">
        <v>1747</v>
      </c>
      <c r="D1" s="20" t="s">
        <v>1748</v>
      </c>
      <c r="E1" s="20" t="s">
        <v>1749</v>
      </c>
      <c r="F1" s="20" t="s">
        <v>162</v>
      </c>
      <c r="H1" s="20" t="s">
        <v>1747</v>
      </c>
      <c r="I1" s="20" t="s">
        <v>1748</v>
      </c>
      <c r="J1" s="20" t="s">
        <v>1749</v>
      </c>
      <c r="K1" s="20" t="s">
        <v>117</v>
      </c>
      <c r="M1" s="20" t="s">
        <v>1747</v>
      </c>
      <c r="N1" s="20" t="s">
        <v>1748</v>
      </c>
      <c r="O1" s="20" t="s">
        <v>1749</v>
      </c>
      <c r="P1" s="20" t="s">
        <v>188</v>
      </c>
      <c r="R1" s="20" t="s">
        <v>1747</v>
      </c>
      <c r="S1" s="20" t="s">
        <v>1748</v>
      </c>
      <c r="T1" s="20" t="s">
        <v>1749</v>
      </c>
      <c r="U1" s="20" t="s">
        <v>16</v>
      </c>
      <c r="W1" s="20" t="s">
        <v>1747</v>
      </c>
      <c r="X1" s="20" t="s">
        <v>1748</v>
      </c>
      <c r="Y1" s="20" t="s">
        <v>1749</v>
      </c>
      <c r="Z1" s="20" t="s">
        <v>122</v>
      </c>
      <c r="AB1" s="20" t="s">
        <v>1747</v>
      </c>
      <c r="AC1" s="20" t="s">
        <v>1748</v>
      </c>
      <c r="AD1" s="20" t="s">
        <v>1749</v>
      </c>
      <c r="AE1" s="20" t="s">
        <v>12</v>
      </c>
      <c r="AG1" s="20" t="s">
        <v>1747</v>
      </c>
      <c r="AH1" s="20" t="s">
        <v>1748</v>
      </c>
      <c r="AI1" s="20" t="s">
        <v>1749</v>
      </c>
      <c r="AL1" t="s">
        <v>1750</v>
      </c>
    </row>
    <row r="2" spans="1:41">
      <c r="A2" t="s">
        <v>116</v>
      </c>
      <c r="B2" t="s">
        <v>1751</v>
      </c>
      <c r="C2" cm="1">
        <f t="array" ref="C2">SUMPRODUCT(('ALL 498 CONSOLIDATED NEW'!$N$2:$N$503=A$1)*(A2='ALL 498 CONSOLIDATED NEW'!$K$2:$M$503)*(ISNUMBER(MATCH('ALL 498 CONSOLIDATED NEW'!$G$2:$G$503,Table1713141121[SCHOOL LIST],0))))</f>
        <v>0</v>
      </c>
      <c r="D2">
        <v>0</v>
      </c>
      <c r="E2">
        <f>C2-D2</f>
        <v>0</v>
      </c>
      <c r="F2" t="s">
        <v>116</v>
      </c>
      <c r="G2" t="s">
        <v>1752</v>
      </c>
      <c r="H2" cm="1">
        <f t="array" ref="H2">SUMPRODUCT(('ALL 498 CONSOLIDATED NEW'!$N$2:$N$503=F$1)*(F2='ALL 498 CONSOLIDATED NEW'!$K$2:$M$503)*(ISNUMBER(MATCH('ALL 498 CONSOLIDATED NEW'!$G$2:$G$503,Table1713141121[SCHOOL LIST],0))))</f>
        <v>0</v>
      </c>
      <c r="I2">
        <v>0</v>
      </c>
      <c r="J2">
        <f>H2-I2</f>
        <v>0</v>
      </c>
      <c r="K2" t="s">
        <v>116</v>
      </c>
      <c r="L2">
        <v>105101001</v>
      </c>
      <c r="M2" cm="1">
        <f t="array" ref="M2">SUMPRODUCT(('ALL 498 CONSOLIDATED NEW'!$N$2:$N$503=K$1)*(K2='ALL 498 CONSOLIDATED NEW'!$K$2:$M$503)*(ISNUMBER(MATCH('ALL 498 CONSOLIDATED NEW'!$G$2:$G$503,Table1713141121[SCHOOL LIST],0))))</f>
        <v>0</v>
      </c>
      <c r="N2">
        <v>0</v>
      </c>
      <c r="O2">
        <f>M2-N2</f>
        <v>0</v>
      </c>
      <c r="P2" t="s">
        <v>186</v>
      </c>
      <c r="Q2">
        <v>302202001</v>
      </c>
      <c r="R2" cm="1">
        <f t="array" ref="R2">SUMPRODUCT(('ALL 498 CONSOLIDATED NEW'!$N$2:$N$503=P$1)*(P2='ALL 498 CONSOLIDATED NEW'!$K$2:$M$503)*(ISNUMBER(MATCH('ALL 498 CONSOLIDATED NEW'!$G$2:$G$503,Table1713141121[SCHOOL LIST],0))))</f>
        <v>7</v>
      </c>
      <c r="S2">
        <v>7</v>
      </c>
      <c r="T2">
        <f>R2-S2</f>
        <v>0</v>
      </c>
      <c r="U2" t="s">
        <v>1313</v>
      </c>
      <c r="V2">
        <v>301201999</v>
      </c>
      <c r="W2" cm="1">
        <f t="array" ref="W2">SUMPRODUCT(('ALL 498 CONSOLIDATED NEW'!$N$2:$N$503=U$1)*(U2='ALL 498 CONSOLIDATED NEW'!$K$2:$M$503)*(ISNUMBER(MATCH('ALL 498 CONSOLIDATED NEW'!$G$2:$G$503,Table1713141121[SCHOOL LIST],0))))</f>
        <v>12</v>
      </c>
      <c r="X2">
        <v>12</v>
      </c>
      <c r="Y2">
        <f>W2-X2</f>
        <v>0</v>
      </c>
      <c r="Z2" t="s">
        <v>1321</v>
      </c>
      <c r="AA2">
        <v>104104009</v>
      </c>
      <c r="AB2" cm="1">
        <f t="array" ref="AB2">SUMPRODUCT(('ALL 498 CONSOLIDATED NEW'!$N$2:$N$503=Z$1)*(Z2='ALL 498 CONSOLIDATED NEW'!$K$2:$M$503)*(ISNUMBER(MATCH('ALL 498 CONSOLIDATED NEW'!$G$2:$G$503,Table1713141121[SCHOOL LIST],0))))</f>
        <v>4</v>
      </c>
      <c r="AC2">
        <v>4</v>
      </c>
      <c r="AD2">
        <f>AB2-AC2</f>
        <v>0</v>
      </c>
      <c r="AE2" t="s">
        <v>1365</v>
      </c>
      <c r="AF2">
        <v>204301999</v>
      </c>
      <c r="AG2" cm="1">
        <f t="array" ref="AG2">SUMPRODUCT(('ALL 498 CONSOLIDATED NEW'!$N$2:$N$503=AE$1)*(AE2='ALL 498 CONSOLIDATED NEW'!$K$2:$M$503)*(ISNUMBER(MATCH('ALL 498 CONSOLIDATED NEW'!$G$2:$G$503,Table1713141121[SCHOOL LIST],0))))</f>
        <v>0</v>
      </c>
      <c r="AH2">
        <v>0</v>
      </c>
      <c r="AI2">
        <f>AG2-AH2</f>
        <v>0</v>
      </c>
      <c r="AL2" s="88" t="s">
        <v>55</v>
      </c>
    </row>
    <row r="3" spans="1:41">
      <c r="A3" t="s">
        <v>1753</v>
      </c>
      <c r="B3" t="s">
        <v>1754</v>
      </c>
      <c r="C3" cm="1">
        <f t="array" ref="C3">SUMPRODUCT(('ALL 498 CONSOLIDATED NEW'!$N$2:$N$503=A$1)*(A3='ALL 498 CONSOLIDATED NEW'!$K$2:$M$503)*(ISNUMBER(MATCH('ALL 498 CONSOLIDATED NEW'!$G$2:$G$503,Table1713141121[SCHOOL LIST],0))))</f>
        <v>0</v>
      </c>
      <c r="D3">
        <v>0</v>
      </c>
      <c r="E3">
        <f t="shared" ref="E3:E22" si="0">C3-D3</f>
        <v>0</v>
      </c>
      <c r="F3" t="s">
        <v>1753</v>
      </c>
      <c r="G3" t="s">
        <v>1755</v>
      </c>
      <c r="H3" cm="1">
        <f t="array" ref="H3">SUMPRODUCT(('ALL 498 CONSOLIDATED NEW'!$N$2:$N$503=F$1)*(F3='ALL 498 CONSOLIDATED NEW'!$K$2:$M$503)*(ISNUMBER(MATCH('ALL 498 CONSOLIDATED NEW'!$G$2:$G$503,Table1713141121[SCHOOL LIST],0))))</f>
        <v>0</v>
      </c>
      <c r="I3">
        <v>0</v>
      </c>
      <c r="J3">
        <f t="shared" ref="J3:J22" si="1">H3-I3</f>
        <v>0</v>
      </c>
      <c r="K3" t="s">
        <v>1753</v>
      </c>
      <c r="L3">
        <v>105101002</v>
      </c>
      <c r="M3" cm="1">
        <f t="array" ref="M3">SUMPRODUCT(('ALL 498 CONSOLIDATED NEW'!$N$2:$N$503=K$1)*(K3='ALL 498 CONSOLIDATED NEW'!$K$2:$M$503)*(ISNUMBER(MATCH('ALL 498 CONSOLIDATED NEW'!$G$2:$G$503,Table1713141121[SCHOOL LIST],0))))</f>
        <v>0</v>
      </c>
      <c r="N3">
        <v>0</v>
      </c>
      <c r="O3">
        <f t="shared" ref="O3:O22" si="2">M3-N3</f>
        <v>0</v>
      </c>
      <c r="P3" t="s">
        <v>187</v>
      </c>
      <c r="Q3" t="s">
        <v>1756</v>
      </c>
      <c r="R3" cm="1">
        <f t="array" ref="R3">SUMPRODUCT(('ALL 498 CONSOLIDATED NEW'!$N$2:$N$503=P$1)*(P3='ALL 498 CONSOLIDATED NEW'!$K$2:$M$503)*(ISNUMBER(MATCH('ALL 498 CONSOLIDATED NEW'!$G$2:$G$503,Table1713141121[SCHOOL LIST],0))))</f>
        <v>7</v>
      </c>
      <c r="S3">
        <v>7</v>
      </c>
      <c r="T3">
        <f>R3-S3</f>
        <v>0</v>
      </c>
      <c r="AL3" s="56" t="s">
        <v>56</v>
      </c>
      <c r="AM3" t="s">
        <v>1291</v>
      </c>
      <c r="AN3" t="s">
        <v>1304</v>
      </c>
      <c r="AO3" t="s">
        <v>1293</v>
      </c>
    </row>
    <row r="4" spans="1:41">
      <c r="A4" t="s">
        <v>109</v>
      </c>
      <c r="B4" t="s">
        <v>1757</v>
      </c>
      <c r="C4" cm="1">
        <f t="array" ref="C4">SUMPRODUCT(('ALL 498 CONSOLIDATED NEW'!$N$2:$N$503=A$1)*(A4='ALL 498 CONSOLIDATED NEW'!$K$2:$M$503)*(ISNUMBER(MATCH('ALL 498 CONSOLIDATED NEW'!$G$2:$G$503,Table1713141121[SCHOOL LIST],0))))</f>
        <v>0</v>
      </c>
      <c r="D4">
        <v>0</v>
      </c>
      <c r="E4">
        <f t="shared" si="0"/>
        <v>0</v>
      </c>
      <c r="F4" t="s">
        <v>109</v>
      </c>
      <c r="G4" t="s">
        <v>1758</v>
      </c>
      <c r="H4" cm="1">
        <f t="array" ref="H4">SUMPRODUCT(('ALL 498 CONSOLIDATED NEW'!$N$2:$N$503=F$1)*(F4='ALL 498 CONSOLIDATED NEW'!$K$2:$M$503)*(ISNUMBER(MATCH('ALL 498 CONSOLIDATED NEW'!$G$2:$G$503,Table1713141121[SCHOOL LIST],0))))</f>
        <v>0</v>
      </c>
      <c r="I4">
        <v>0</v>
      </c>
      <c r="J4">
        <f t="shared" si="1"/>
        <v>0</v>
      </c>
      <c r="K4" t="s">
        <v>109</v>
      </c>
      <c r="L4">
        <v>105101003</v>
      </c>
      <c r="M4" cm="1">
        <f t="array" ref="M4">SUMPRODUCT(('ALL 498 CONSOLIDATED NEW'!$N$2:$N$503=K$1)*(K4='ALL 498 CONSOLIDATED NEW'!$K$2:$M$503)*(ISNUMBER(MATCH('ALL 498 CONSOLIDATED NEW'!$G$2:$G$503,Table1713141121[SCHOOL LIST],0))))</f>
        <v>0</v>
      </c>
      <c r="N4">
        <v>0</v>
      </c>
      <c r="O4">
        <f t="shared" si="2"/>
        <v>0</v>
      </c>
      <c r="AL4" s="56"/>
      <c r="AM4">
        <v>1</v>
      </c>
      <c r="AN4" t="s">
        <v>111</v>
      </c>
      <c r="AO4">
        <f>C22/3</f>
        <v>3</v>
      </c>
    </row>
    <row r="5" spans="1:41">
      <c r="A5" t="s">
        <v>1759</v>
      </c>
      <c r="B5" t="s">
        <v>1760</v>
      </c>
      <c r="C5" cm="1">
        <f t="array" ref="C5">SUMPRODUCT(('ALL 498 CONSOLIDATED NEW'!$N$2:$N$503=A$1)*(A5='ALL 498 CONSOLIDATED NEW'!$K$2:$M$503)*(ISNUMBER(MATCH('ALL 498 CONSOLIDATED NEW'!$G$2:$G$503,Table1713141121[SCHOOL LIST],0))))</f>
        <v>0</v>
      </c>
      <c r="D5">
        <v>0</v>
      </c>
      <c r="E5">
        <f t="shared" si="0"/>
        <v>0</v>
      </c>
      <c r="F5" t="s">
        <v>1759</v>
      </c>
      <c r="G5" t="s">
        <v>1761</v>
      </c>
      <c r="H5" cm="1">
        <f t="array" ref="H5">SUMPRODUCT(('ALL 498 CONSOLIDATED NEW'!$N$2:$N$503=F$1)*(F5='ALL 498 CONSOLIDATED NEW'!$K$2:$M$503)*(ISNUMBER(MATCH('ALL 498 CONSOLIDATED NEW'!$G$2:$G$503,Table1713141121[SCHOOL LIST],0))))</f>
        <v>0</v>
      </c>
      <c r="I5">
        <v>0</v>
      </c>
      <c r="J5">
        <f t="shared" si="1"/>
        <v>0</v>
      </c>
      <c r="K5" t="s">
        <v>1759</v>
      </c>
      <c r="L5">
        <v>105101004</v>
      </c>
      <c r="M5" cm="1">
        <f t="array" ref="M5">SUMPRODUCT(('ALL 498 CONSOLIDATED NEW'!$N$2:$N$503=K$1)*(K5='ALL 498 CONSOLIDATED NEW'!$K$2:$M$503)*(ISNUMBER(MATCH('ALL 498 CONSOLIDATED NEW'!$G$2:$G$503,Table1713141121[SCHOOL LIST],0))))</f>
        <v>0</v>
      </c>
      <c r="N5">
        <v>0</v>
      </c>
      <c r="O5">
        <f t="shared" si="2"/>
        <v>0</v>
      </c>
      <c r="AL5" s="87"/>
      <c r="AM5">
        <v>2</v>
      </c>
      <c r="AN5" t="s">
        <v>162</v>
      </c>
      <c r="AO5">
        <f>H22/3</f>
        <v>5</v>
      </c>
    </row>
    <row r="6" spans="1:41">
      <c r="A6" t="s">
        <v>130</v>
      </c>
      <c r="B6" t="s">
        <v>1762</v>
      </c>
      <c r="C6" cm="1">
        <f t="array" ref="C6">SUMPRODUCT(('ALL 498 CONSOLIDATED NEW'!$N$2:$N$503=A$1)*(A6='ALL 498 CONSOLIDATED NEW'!$K$2:$M$503)*(ISNUMBER(MATCH('ALL 498 CONSOLIDATED NEW'!$G$2:$G$503,Table1713141121[SCHOOL LIST],0))))</f>
        <v>0</v>
      </c>
      <c r="D6">
        <v>0</v>
      </c>
      <c r="E6">
        <f t="shared" si="0"/>
        <v>0</v>
      </c>
      <c r="F6" t="s">
        <v>130</v>
      </c>
      <c r="G6" t="s">
        <v>1763</v>
      </c>
      <c r="H6" cm="1">
        <f t="array" ref="H6">SUMPRODUCT(('ALL 498 CONSOLIDATED NEW'!$N$2:$N$503=F$1)*(F6='ALL 498 CONSOLIDATED NEW'!$K$2:$M$503)*(ISNUMBER(MATCH('ALL 498 CONSOLIDATED NEW'!$G$2:$G$503,Table1713141121[SCHOOL LIST],0))))</f>
        <v>2</v>
      </c>
      <c r="I6">
        <v>2</v>
      </c>
      <c r="J6">
        <f t="shared" si="1"/>
        <v>0</v>
      </c>
      <c r="K6" t="s">
        <v>130</v>
      </c>
      <c r="L6">
        <v>105101005</v>
      </c>
      <c r="M6" cm="1">
        <f t="array" ref="M6">SUMPRODUCT(('ALL 498 CONSOLIDATED NEW'!$N$2:$N$503=K$1)*(K6='ALL 498 CONSOLIDATED NEW'!$K$2:$M$503)*(ISNUMBER(MATCH('ALL 498 CONSOLIDATED NEW'!$G$2:$G$503,Table1713141121[SCHOOL LIST],0))))</f>
        <v>0</v>
      </c>
      <c r="N6">
        <v>0</v>
      </c>
      <c r="O6">
        <f t="shared" si="2"/>
        <v>0</v>
      </c>
      <c r="AL6" s="87"/>
      <c r="AM6">
        <v>3</v>
      </c>
      <c r="AN6" t="s">
        <v>117</v>
      </c>
      <c r="AO6">
        <f>M22/3</f>
        <v>2</v>
      </c>
    </row>
    <row r="7" spans="1:41">
      <c r="A7" t="s">
        <v>443</v>
      </c>
      <c r="B7" t="s">
        <v>1764</v>
      </c>
      <c r="C7" cm="1">
        <f t="array" ref="C7">SUMPRODUCT(('ALL 498 CONSOLIDATED NEW'!$N$2:$N$503=A$1)*(A7='ALL 498 CONSOLIDATED NEW'!$K$2:$M$503)*(ISNUMBER(MATCH('ALL 498 CONSOLIDATED NEW'!$G$2:$G$503,Table1713141121[SCHOOL LIST],0))))</f>
        <v>0</v>
      </c>
      <c r="D7">
        <v>0</v>
      </c>
      <c r="E7">
        <f t="shared" si="0"/>
        <v>0</v>
      </c>
      <c r="F7" t="s">
        <v>443</v>
      </c>
      <c r="G7" t="s">
        <v>1765</v>
      </c>
      <c r="H7" cm="1">
        <f t="array" ref="H7">SUMPRODUCT(('ALL 498 CONSOLIDATED NEW'!$N$2:$N$503=F$1)*(F7='ALL 498 CONSOLIDATED NEW'!$K$2:$M$503)*(ISNUMBER(MATCH('ALL 498 CONSOLIDATED NEW'!$G$2:$G$503,Table1713141121[SCHOOL LIST],0))))</f>
        <v>0</v>
      </c>
      <c r="I7">
        <v>0</v>
      </c>
      <c r="J7">
        <f t="shared" si="1"/>
        <v>0</v>
      </c>
      <c r="K7" t="s">
        <v>443</v>
      </c>
      <c r="L7">
        <v>105101006</v>
      </c>
      <c r="M7" cm="1">
        <f t="array" ref="M7">SUMPRODUCT(('ALL 498 CONSOLIDATED NEW'!$N$2:$N$503=K$1)*(K7='ALL 498 CONSOLIDATED NEW'!$K$2:$M$503)*(ISNUMBER(MATCH('ALL 498 CONSOLIDATED NEW'!$G$2:$G$503,Table1713141121[SCHOOL LIST],0))))</f>
        <v>0</v>
      </c>
      <c r="N7">
        <v>0</v>
      </c>
      <c r="O7">
        <f t="shared" si="2"/>
        <v>0</v>
      </c>
      <c r="AL7" s="87"/>
      <c r="AM7">
        <v>4</v>
      </c>
      <c r="AN7" t="s">
        <v>188</v>
      </c>
      <c r="AO7">
        <f>R22/2</f>
        <v>7</v>
      </c>
    </row>
    <row r="8" spans="1:41">
      <c r="A8" t="s">
        <v>110</v>
      </c>
      <c r="B8" t="s">
        <v>1766</v>
      </c>
      <c r="C8" cm="1">
        <f t="array" ref="C8">SUMPRODUCT(('ALL 498 CONSOLIDATED NEW'!$N$2:$N$503=A$1)*(A8='ALL 498 CONSOLIDATED NEW'!$K$2:$M$503)*(ISNUMBER(MATCH('ALL 498 CONSOLIDATED NEW'!$G$2:$G$503,Table1713141121[SCHOOL LIST],0))))</f>
        <v>0</v>
      </c>
      <c r="D8">
        <v>0</v>
      </c>
      <c r="E8">
        <f t="shared" si="0"/>
        <v>0</v>
      </c>
      <c r="F8" t="s">
        <v>110</v>
      </c>
      <c r="G8" t="s">
        <v>1767</v>
      </c>
      <c r="H8" cm="1">
        <f t="array" ref="H8">SUMPRODUCT(('ALL 498 CONSOLIDATED NEW'!$N$2:$N$503=F$1)*(F8='ALL 498 CONSOLIDATED NEW'!$K$2:$M$503)*(ISNUMBER(MATCH('ALL 498 CONSOLIDATED NEW'!$G$2:$G$503,Table1713141121[SCHOOL LIST],0))))</f>
        <v>2</v>
      </c>
      <c r="I8">
        <v>2</v>
      </c>
      <c r="J8">
        <f t="shared" si="1"/>
        <v>0</v>
      </c>
      <c r="K8" t="s">
        <v>110</v>
      </c>
      <c r="L8">
        <v>105101007</v>
      </c>
      <c r="M8" cm="1">
        <f t="array" ref="M8">SUMPRODUCT(('ALL 498 CONSOLIDATED NEW'!$N$2:$N$503=K$1)*(K8='ALL 498 CONSOLIDATED NEW'!$K$2:$M$503)*(ISNUMBER(MATCH('ALL 498 CONSOLIDATED NEW'!$G$2:$G$503,Table1713141121[SCHOOL LIST],0))))</f>
        <v>0</v>
      </c>
      <c r="N8">
        <v>0</v>
      </c>
      <c r="O8">
        <f t="shared" si="2"/>
        <v>0</v>
      </c>
      <c r="AL8" s="56"/>
      <c r="AM8">
        <v>5</v>
      </c>
      <c r="AN8" t="s">
        <v>16</v>
      </c>
      <c r="AO8">
        <f>W22/2</f>
        <v>6</v>
      </c>
    </row>
    <row r="9" spans="1:41">
      <c r="A9" t="s">
        <v>108</v>
      </c>
      <c r="B9" t="s">
        <v>1768</v>
      </c>
      <c r="C9" cm="1">
        <f t="array" ref="C9">SUMPRODUCT(('ALL 498 CONSOLIDATED NEW'!$N$2:$N$503=A$1)*(A9='ALL 498 CONSOLIDATED NEW'!$K$2:$M$503)*(ISNUMBER(MATCH('ALL 498 CONSOLIDATED NEW'!$G$2:$G$503,Table1713141121[SCHOOL LIST],0))))</f>
        <v>1</v>
      </c>
      <c r="D9">
        <v>1</v>
      </c>
      <c r="E9">
        <f t="shared" si="0"/>
        <v>0</v>
      </c>
      <c r="F9" t="s">
        <v>108</v>
      </c>
      <c r="G9" t="s">
        <v>1769</v>
      </c>
      <c r="H9" cm="1">
        <f t="array" ref="H9">SUMPRODUCT(('ALL 498 CONSOLIDATED NEW'!$N$2:$N$503=F$1)*(F9='ALL 498 CONSOLIDATED NEW'!$K$2:$M$503)*(ISNUMBER(MATCH('ALL 498 CONSOLIDATED NEW'!$G$2:$G$503,Table1713141121[SCHOOL LIST],0))))</f>
        <v>3</v>
      </c>
      <c r="I9">
        <v>3</v>
      </c>
      <c r="J9">
        <f t="shared" si="1"/>
        <v>0</v>
      </c>
      <c r="K9" t="s">
        <v>108</v>
      </c>
      <c r="L9">
        <v>105101008</v>
      </c>
      <c r="M9" cm="1">
        <f t="array" ref="M9">SUMPRODUCT(('ALL 498 CONSOLIDATED NEW'!$N$2:$N$503=K$1)*(K9='ALL 498 CONSOLIDATED NEW'!$K$2:$M$503)*(ISNUMBER(MATCH('ALL 498 CONSOLIDATED NEW'!$G$2:$G$503,Table1713141121[SCHOOL LIST],0))))</f>
        <v>1</v>
      </c>
      <c r="N9">
        <v>1</v>
      </c>
      <c r="O9">
        <f t="shared" si="2"/>
        <v>0</v>
      </c>
      <c r="AL9" s="56"/>
      <c r="AM9">
        <v>6</v>
      </c>
      <c r="AN9" t="s">
        <v>122</v>
      </c>
      <c r="AO9">
        <f>AB22</f>
        <v>4</v>
      </c>
    </row>
    <row r="10" spans="1:41">
      <c r="A10" t="s">
        <v>250</v>
      </c>
      <c r="B10" t="s">
        <v>1770</v>
      </c>
      <c r="C10" cm="1">
        <f t="array" ref="C10">SUMPRODUCT(('ALL 498 CONSOLIDATED NEW'!$N$2:$N$503=A$1)*(A10='ALL 498 CONSOLIDATED NEW'!$K$2:$M$503)*(ISNUMBER(MATCH('ALL 498 CONSOLIDATED NEW'!$G$2:$G$503,Table1713141121[SCHOOL LIST],0))))</f>
        <v>0</v>
      </c>
      <c r="D10">
        <v>0</v>
      </c>
      <c r="E10">
        <f t="shared" si="0"/>
        <v>0</v>
      </c>
      <c r="F10" t="s">
        <v>250</v>
      </c>
      <c r="G10" t="s">
        <v>1771</v>
      </c>
      <c r="H10" cm="1">
        <f t="array" ref="H10">SUMPRODUCT(('ALL 498 CONSOLIDATED NEW'!$N$2:$N$503=F$1)*(F10='ALL 498 CONSOLIDATED NEW'!$K$2:$M$503)*(ISNUMBER(MATCH('ALL 498 CONSOLIDATED NEW'!$G$2:$G$503,Table1713141121[SCHOOL LIST],0))))</f>
        <v>0</v>
      </c>
      <c r="I10">
        <v>0</v>
      </c>
      <c r="J10">
        <f t="shared" si="1"/>
        <v>0</v>
      </c>
      <c r="K10" t="s">
        <v>250</v>
      </c>
      <c r="L10">
        <v>105101009</v>
      </c>
      <c r="M10" cm="1">
        <f t="array" ref="M10">SUMPRODUCT(('ALL 498 CONSOLIDATED NEW'!$N$2:$N$503=K$1)*(K10='ALL 498 CONSOLIDATED NEW'!$K$2:$M$503)*(ISNUMBER(MATCH('ALL 498 CONSOLIDATED NEW'!$G$2:$G$503,Table1713141121[SCHOOL LIST],0))))</f>
        <v>0</v>
      </c>
      <c r="N10">
        <v>0</v>
      </c>
      <c r="O10">
        <f t="shared" si="2"/>
        <v>0</v>
      </c>
      <c r="AL10" s="56"/>
      <c r="AM10">
        <v>7</v>
      </c>
      <c r="AN10" t="s">
        <v>12</v>
      </c>
      <c r="AO10">
        <f>AG22</f>
        <v>0</v>
      </c>
    </row>
    <row r="11" spans="1:41">
      <c r="A11" t="s">
        <v>135</v>
      </c>
      <c r="B11" t="s">
        <v>1772</v>
      </c>
      <c r="C11" cm="1">
        <f t="array" ref="C11">SUMPRODUCT(('ALL 498 CONSOLIDATED NEW'!$N$2:$N$503=A$1)*(A11='ALL 498 CONSOLIDATED NEW'!$K$2:$M$503)*(ISNUMBER(MATCH('ALL 498 CONSOLIDATED NEW'!$G$2:$G$503,Table1713141121[SCHOOL LIST],0))))</f>
        <v>3</v>
      </c>
      <c r="D11">
        <v>3</v>
      </c>
      <c r="E11">
        <f t="shared" si="0"/>
        <v>0</v>
      </c>
      <c r="F11" t="s">
        <v>135</v>
      </c>
      <c r="G11" t="s">
        <v>1773</v>
      </c>
      <c r="H11" cm="1">
        <f t="array" ref="H11">SUMPRODUCT(('ALL 498 CONSOLIDATED NEW'!$N$2:$N$503=F$1)*(F11='ALL 498 CONSOLIDATED NEW'!$K$2:$M$503)*(ISNUMBER(MATCH('ALL 498 CONSOLIDATED NEW'!$G$2:$G$503,Table1713141121[SCHOOL LIST],0))))</f>
        <v>3</v>
      </c>
      <c r="I11">
        <v>3</v>
      </c>
      <c r="J11">
        <f t="shared" si="1"/>
        <v>0</v>
      </c>
      <c r="K11" t="s">
        <v>135</v>
      </c>
      <c r="L11">
        <v>105101010</v>
      </c>
      <c r="M11" cm="1">
        <f t="array" ref="M11">SUMPRODUCT(('ALL 498 CONSOLIDATED NEW'!$N$2:$N$503=K$1)*(K11='ALL 498 CONSOLIDATED NEW'!$K$2:$M$503)*(ISNUMBER(MATCH('ALL 498 CONSOLIDATED NEW'!$G$2:$G$503,Table1713141121[SCHOOL LIST],0))))</f>
        <v>2</v>
      </c>
      <c r="N11">
        <v>2</v>
      </c>
      <c r="O11">
        <f t="shared" si="2"/>
        <v>0</v>
      </c>
      <c r="AL11" s="56"/>
      <c r="AN11" s="99" t="s">
        <v>1774</v>
      </c>
      <c r="AO11">
        <f>SUM(AO4:AO10)</f>
        <v>27</v>
      </c>
    </row>
    <row r="12" spans="1:41">
      <c r="A12" t="s">
        <v>150</v>
      </c>
      <c r="B12" t="s">
        <v>1775</v>
      </c>
      <c r="C12" cm="1">
        <f t="array" ref="C12">SUMPRODUCT(('ALL 498 CONSOLIDATED NEW'!$N$2:$N$503=A$1)*(A12='ALL 498 CONSOLIDATED NEW'!$K$2:$M$503)*(ISNUMBER(MATCH('ALL 498 CONSOLIDATED NEW'!$G$2:$G$503,Table1713141121[SCHOOL LIST],0))))</f>
        <v>2</v>
      </c>
      <c r="D12">
        <v>2</v>
      </c>
      <c r="E12">
        <f t="shared" si="0"/>
        <v>0</v>
      </c>
      <c r="F12" t="s">
        <v>150</v>
      </c>
      <c r="G12" t="s">
        <v>1776</v>
      </c>
      <c r="H12" cm="1">
        <f t="array" ref="H12">SUMPRODUCT(('ALL 498 CONSOLIDATED NEW'!$N$2:$N$503=F$1)*(F12='ALL 498 CONSOLIDATED NEW'!$K$2:$M$503)*(ISNUMBER(MATCH('ALL 498 CONSOLIDATED NEW'!$G$2:$G$503,Table1713141121[SCHOOL LIST],0))))</f>
        <v>0</v>
      </c>
      <c r="I12">
        <v>0</v>
      </c>
      <c r="J12">
        <f t="shared" si="1"/>
        <v>0</v>
      </c>
      <c r="K12" t="s">
        <v>150</v>
      </c>
      <c r="L12">
        <v>105101011</v>
      </c>
      <c r="M12" cm="1">
        <f t="array" ref="M12">SUMPRODUCT(('ALL 498 CONSOLIDATED NEW'!$N$2:$N$503=K$1)*(K12='ALL 498 CONSOLIDATED NEW'!$K$2:$M$503)*(ISNUMBER(MATCH('ALL 498 CONSOLIDATED NEW'!$G$2:$G$503,Table1713141121[SCHOOL LIST],0))))</f>
        <v>0</v>
      </c>
      <c r="N12">
        <v>0</v>
      </c>
      <c r="O12">
        <f t="shared" si="2"/>
        <v>0</v>
      </c>
      <c r="AL12" s="56"/>
      <c r="AN12" s="99" t="s">
        <v>1777</v>
      </c>
      <c r="AO12">
        <f>SUM(AO4:AO9)</f>
        <v>27</v>
      </c>
    </row>
    <row r="13" spans="1:41">
      <c r="A13" t="s">
        <v>846</v>
      </c>
      <c r="B13" t="s">
        <v>1778</v>
      </c>
      <c r="C13" cm="1">
        <f t="array" ref="C13">SUMPRODUCT(('ALL 498 CONSOLIDATED NEW'!$N$2:$N$503=A$1)*(A13='ALL 498 CONSOLIDATED NEW'!$K$2:$M$503)*(ISNUMBER(MATCH('ALL 498 CONSOLIDATED NEW'!$G$2:$G$503,Table1713141121[SCHOOL LIST],0))))</f>
        <v>0</v>
      </c>
      <c r="D13">
        <v>0</v>
      </c>
      <c r="E13">
        <f t="shared" si="0"/>
        <v>0</v>
      </c>
      <c r="F13" t="s">
        <v>846</v>
      </c>
      <c r="G13" t="s">
        <v>1779</v>
      </c>
      <c r="H13" cm="1">
        <f t="array" ref="H13">SUMPRODUCT(('ALL 498 CONSOLIDATED NEW'!$N$2:$N$503=F$1)*(F13='ALL 498 CONSOLIDATED NEW'!$K$2:$M$503)*(ISNUMBER(MATCH('ALL 498 CONSOLIDATED NEW'!$G$2:$G$503,Table1713141121[SCHOOL LIST],0))))</f>
        <v>0</v>
      </c>
      <c r="I13">
        <v>0</v>
      </c>
      <c r="J13">
        <f t="shared" si="1"/>
        <v>0</v>
      </c>
      <c r="K13" t="s">
        <v>846</v>
      </c>
      <c r="L13">
        <v>105101012</v>
      </c>
      <c r="M13" cm="1">
        <f t="array" ref="M13">SUMPRODUCT(('ALL 498 CONSOLIDATED NEW'!$N$2:$N$503=K$1)*(K13='ALL 498 CONSOLIDATED NEW'!$K$2:$M$503)*(ISNUMBER(MATCH('ALL 498 CONSOLIDATED NEW'!$G$2:$G$503,Table1713141121[SCHOOL LIST],0))))</f>
        <v>0</v>
      </c>
      <c r="N13">
        <v>0</v>
      </c>
      <c r="O13">
        <f t="shared" si="2"/>
        <v>0</v>
      </c>
      <c r="AL13" s="98"/>
    </row>
    <row r="14" spans="1:41">
      <c r="A14" t="s">
        <v>251</v>
      </c>
      <c r="B14" t="s">
        <v>1780</v>
      </c>
      <c r="C14" cm="1">
        <f t="array" ref="C14">SUMPRODUCT(('ALL 498 CONSOLIDATED NEW'!$N$2:$N$503=A$1)*(A14='ALL 498 CONSOLIDATED NEW'!$K$2:$M$503)*(ISNUMBER(MATCH('ALL 498 CONSOLIDATED NEW'!$G$2:$G$503,Table1713141121[SCHOOL LIST],0))))</f>
        <v>0</v>
      </c>
      <c r="D14">
        <v>0</v>
      </c>
      <c r="E14">
        <f t="shared" si="0"/>
        <v>0</v>
      </c>
      <c r="F14" t="s">
        <v>251</v>
      </c>
      <c r="G14" t="s">
        <v>1781</v>
      </c>
      <c r="H14" cm="1">
        <f t="array" ref="H14">SUMPRODUCT(('ALL 498 CONSOLIDATED NEW'!$N$2:$N$503=F$1)*(F14='ALL 498 CONSOLIDATED NEW'!$K$2:$M$503)*(ISNUMBER(MATCH('ALL 498 CONSOLIDATED NEW'!$G$2:$G$503,Table1713141121[SCHOOL LIST],0))))</f>
        <v>0</v>
      </c>
      <c r="I14">
        <v>0</v>
      </c>
      <c r="J14">
        <f t="shared" si="1"/>
        <v>0</v>
      </c>
      <c r="K14" t="s">
        <v>251</v>
      </c>
      <c r="L14">
        <v>105101013</v>
      </c>
      <c r="M14" cm="1">
        <f t="array" ref="M14">SUMPRODUCT(('ALL 498 CONSOLIDATED NEW'!$N$2:$N$503=K$1)*(K14='ALL 498 CONSOLIDATED NEW'!$K$2:$M$503)*(ISNUMBER(MATCH('ALL 498 CONSOLIDATED NEW'!$G$2:$G$503,Table1713141121[SCHOOL LIST],0))))</f>
        <v>0</v>
      </c>
      <c r="N14">
        <v>0</v>
      </c>
      <c r="O14">
        <f t="shared" si="2"/>
        <v>0</v>
      </c>
    </row>
    <row r="15" spans="1:41">
      <c r="A15" t="s">
        <v>136</v>
      </c>
      <c r="B15" t="s">
        <v>1782</v>
      </c>
      <c r="C15" cm="1">
        <f t="array" ref="C15">SUMPRODUCT(('ALL 498 CONSOLIDATED NEW'!$N$2:$N$503=A$1)*(A15='ALL 498 CONSOLIDATED NEW'!$K$2:$M$503)*(ISNUMBER(MATCH('ALL 498 CONSOLIDATED NEW'!$G$2:$G$503,Table1713141121[SCHOOL LIST],0))))</f>
        <v>3</v>
      </c>
      <c r="D15">
        <v>3</v>
      </c>
      <c r="E15">
        <f t="shared" si="0"/>
        <v>0</v>
      </c>
      <c r="F15" t="s">
        <v>136</v>
      </c>
      <c r="G15" t="s">
        <v>1783</v>
      </c>
      <c r="H15" cm="1">
        <f t="array" ref="H15">SUMPRODUCT(('ALL 498 CONSOLIDATED NEW'!$N$2:$N$503=F$1)*(F15='ALL 498 CONSOLIDATED NEW'!$K$2:$M$503)*(ISNUMBER(MATCH('ALL 498 CONSOLIDATED NEW'!$G$2:$G$503,Table1713141121[SCHOOL LIST],0))))</f>
        <v>3</v>
      </c>
      <c r="I15">
        <v>3</v>
      </c>
      <c r="J15">
        <f t="shared" si="1"/>
        <v>0</v>
      </c>
      <c r="K15" t="s">
        <v>136</v>
      </c>
      <c r="L15">
        <v>105101014</v>
      </c>
      <c r="M15" cm="1">
        <f t="array" ref="M15">SUMPRODUCT(('ALL 498 CONSOLIDATED NEW'!$N$2:$N$503=K$1)*(K15='ALL 498 CONSOLIDATED NEW'!$K$2:$M$503)*(ISNUMBER(MATCH('ALL 498 CONSOLIDATED NEW'!$G$2:$G$503,Table1713141121[SCHOOL LIST],0))))</f>
        <v>2</v>
      </c>
      <c r="N15">
        <v>2</v>
      </c>
      <c r="O15">
        <f t="shared" si="2"/>
        <v>0</v>
      </c>
    </row>
    <row r="16" spans="1:41">
      <c r="A16" t="s">
        <v>198</v>
      </c>
      <c r="B16" t="s">
        <v>1784</v>
      </c>
      <c r="C16" cm="1">
        <f t="array" ref="C16">SUMPRODUCT(('ALL 498 CONSOLIDATED NEW'!$N$2:$N$503=A$1)*(A16='ALL 498 CONSOLIDATED NEW'!$K$2:$M$503)*(ISNUMBER(MATCH('ALL 498 CONSOLIDATED NEW'!$G$2:$G$503,Table1713141121[SCHOOL LIST],0))))</f>
        <v>0</v>
      </c>
      <c r="D16">
        <v>0</v>
      </c>
      <c r="E16">
        <f t="shared" si="0"/>
        <v>0</v>
      </c>
      <c r="F16" t="s">
        <v>198</v>
      </c>
      <c r="G16" t="s">
        <v>1785</v>
      </c>
      <c r="H16" cm="1">
        <f t="array" ref="H16">SUMPRODUCT(('ALL 498 CONSOLIDATED NEW'!$N$2:$N$503=F$1)*(F16='ALL 498 CONSOLIDATED NEW'!$K$2:$M$503)*(ISNUMBER(MATCH('ALL 498 CONSOLIDATED NEW'!$G$2:$G$503,Table1713141121[SCHOOL LIST],0))))</f>
        <v>2</v>
      </c>
      <c r="I16">
        <v>2</v>
      </c>
      <c r="J16">
        <f t="shared" si="1"/>
        <v>0</v>
      </c>
      <c r="K16" t="s">
        <v>198</v>
      </c>
      <c r="L16">
        <v>105101015</v>
      </c>
      <c r="M16" cm="1">
        <f t="array" ref="M16">SUMPRODUCT(('ALL 498 CONSOLIDATED NEW'!$N$2:$N$503=K$1)*(K16='ALL 498 CONSOLIDATED NEW'!$K$2:$M$503)*(ISNUMBER(MATCH('ALL 498 CONSOLIDATED NEW'!$G$2:$G$503,Table1713141121[SCHOOL LIST],0))))</f>
        <v>1</v>
      </c>
      <c r="N16">
        <v>1</v>
      </c>
      <c r="O16">
        <f t="shared" si="2"/>
        <v>0</v>
      </c>
    </row>
    <row r="17" spans="1:37">
      <c r="A17" t="s">
        <v>200</v>
      </c>
      <c r="B17" t="s">
        <v>1786</v>
      </c>
      <c r="C17" cm="1">
        <f t="array" ref="C17">SUMPRODUCT(('ALL 498 CONSOLIDATED NEW'!$N$2:$N$503=A$1)*(A17='ALL 498 CONSOLIDATED NEW'!$K$2:$M$503)*(ISNUMBER(MATCH('ALL 498 CONSOLIDATED NEW'!$G$2:$G$503,Table1713141121[SCHOOL LIST],0))))</f>
        <v>0</v>
      </c>
      <c r="D17">
        <v>0</v>
      </c>
      <c r="E17">
        <f t="shared" si="0"/>
        <v>0</v>
      </c>
      <c r="F17" t="s">
        <v>200</v>
      </c>
      <c r="G17" t="s">
        <v>1787</v>
      </c>
      <c r="H17" cm="1">
        <f t="array" ref="H17">SUMPRODUCT(('ALL 498 CONSOLIDATED NEW'!$N$2:$N$503=F$1)*(F17='ALL 498 CONSOLIDATED NEW'!$K$2:$M$503)*(ISNUMBER(MATCH('ALL 498 CONSOLIDATED NEW'!$G$2:$G$503,Table1713141121[SCHOOL LIST],0))))</f>
        <v>0</v>
      </c>
      <c r="I17">
        <v>0</v>
      </c>
      <c r="J17">
        <f t="shared" si="1"/>
        <v>0</v>
      </c>
      <c r="K17" t="s">
        <v>200</v>
      </c>
      <c r="L17">
        <v>105101016</v>
      </c>
      <c r="M17" cm="1">
        <f t="array" ref="M17">SUMPRODUCT(('ALL 498 CONSOLIDATED NEW'!$N$2:$N$503=K$1)*(K17='ALL 498 CONSOLIDATED NEW'!$K$2:$M$503)*(ISNUMBER(MATCH('ALL 498 CONSOLIDATED NEW'!$G$2:$G$503,Table1713141121[SCHOOL LIST],0))))</f>
        <v>0</v>
      </c>
      <c r="N17">
        <v>0</v>
      </c>
      <c r="O17">
        <f t="shared" si="2"/>
        <v>0</v>
      </c>
    </row>
    <row r="18" spans="1:37">
      <c r="A18" t="s">
        <v>1788</v>
      </c>
      <c r="B18" t="s">
        <v>1789</v>
      </c>
      <c r="C18" cm="1">
        <f t="array" ref="C18">SUMPRODUCT(('ALL 498 CONSOLIDATED NEW'!$N$2:$N$503=A$1)*(A18='ALL 498 CONSOLIDATED NEW'!$K$2:$M$503)*(ISNUMBER(MATCH('ALL 498 CONSOLIDATED NEW'!$G$2:$G$503,Table1713141121[SCHOOL LIST],0))))</f>
        <v>0</v>
      </c>
      <c r="D18">
        <v>0</v>
      </c>
      <c r="E18">
        <f t="shared" si="0"/>
        <v>0</v>
      </c>
      <c r="F18" t="s">
        <v>1788</v>
      </c>
      <c r="G18" t="s">
        <v>1790</v>
      </c>
      <c r="H18" cm="1">
        <f t="array" ref="H18">SUMPRODUCT(('ALL 498 CONSOLIDATED NEW'!$N$2:$N$503=F$1)*(F18='ALL 498 CONSOLIDATED NEW'!$K$2:$M$503)*(ISNUMBER(MATCH('ALL 498 CONSOLIDATED NEW'!$G$2:$G$503,Table1713141121[SCHOOL LIST],0))))</f>
        <v>0</v>
      </c>
      <c r="I18">
        <v>0</v>
      </c>
      <c r="J18">
        <f t="shared" si="1"/>
        <v>0</v>
      </c>
      <c r="K18" t="s">
        <v>1788</v>
      </c>
      <c r="L18">
        <v>105101017</v>
      </c>
      <c r="M18" cm="1">
        <f t="array" ref="M18">SUMPRODUCT(('ALL 498 CONSOLIDATED NEW'!$N$2:$N$503=K$1)*(K18='ALL 498 CONSOLIDATED NEW'!$K$2:$M$503)*(ISNUMBER(MATCH('ALL 498 CONSOLIDATED NEW'!$G$2:$G$503,Table1713141121[SCHOOL LIST],0))))</f>
        <v>0</v>
      </c>
      <c r="N18">
        <v>0</v>
      </c>
      <c r="O18">
        <f t="shared" si="2"/>
        <v>0</v>
      </c>
    </row>
    <row r="19" spans="1:37">
      <c r="A19" t="s">
        <v>315</v>
      </c>
      <c r="B19" t="s">
        <v>1791</v>
      </c>
      <c r="C19" cm="1">
        <f t="array" ref="C19">SUMPRODUCT(('ALL 498 CONSOLIDATED NEW'!$N$2:$N$503=A$1)*(A19='ALL 498 CONSOLIDATED NEW'!$K$2:$M$503)*(ISNUMBER(MATCH('ALL 498 CONSOLIDATED NEW'!$G$2:$G$503,Table1713141121[SCHOOL LIST],0))))</f>
        <v>0</v>
      </c>
      <c r="D19">
        <v>0</v>
      </c>
      <c r="E19">
        <f t="shared" si="0"/>
        <v>0</v>
      </c>
      <c r="F19" t="s">
        <v>315</v>
      </c>
      <c r="G19" t="s">
        <v>1792</v>
      </c>
      <c r="H19" cm="1">
        <f t="array" ref="H19">SUMPRODUCT(('ALL 498 CONSOLIDATED NEW'!$N$2:$N$503=F$1)*(F19='ALL 498 CONSOLIDATED NEW'!$K$2:$M$503)*(ISNUMBER(MATCH('ALL 498 CONSOLIDATED NEW'!$G$2:$G$503,Table1713141121[SCHOOL LIST],0))))</f>
        <v>0</v>
      </c>
      <c r="I19">
        <v>0</v>
      </c>
      <c r="J19">
        <f t="shared" si="1"/>
        <v>0</v>
      </c>
      <c r="K19" t="s">
        <v>315</v>
      </c>
      <c r="L19">
        <v>105101018</v>
      </c>
      <c r="M19" cm="1">
        <f t="array" ref="M19">SUMPRODUCT(('ALL 498 CONSOLIDATED NEW'!$N$2:$N$503=K$1)*(K19='ALL 498 CONSOLIDATED NEW'!$K$2:$M$503)*(ISNUMBER(MATCH('ALL 498 CONSOLIDATED NEW'!$G$2:$G$503,Table1713141121[SCHOOL LIST],0))))</f>
        <v>0</v>
      </c>
      <c r="N19">
        <v>0</v>
      </c>
      <c r="O19">
        <f t="shared" si="2"/>
        <v>0</v>
      </c>
    </row>
    <row r="20" spans="1:37">
      <c r="A20" t="s">
        <v>199</v>
      </c>
      <c r="B20" t="s">
        <v>1793</v>
      </c>
      <c r="C20" cm="1">
        <f t="array" ref="C20">SUMPRODUCT(('ALL 498 CONSOLIDATED NEW'!$N$2:$N$503=A$1)*(A20='ALL 498 CONSOLIDATED NEW'!$K$2:$M$503)*(ISNUMBER(MATCH('ALL 498 CONSOLIDATED NEW'!$G$2:$G$503,Table1713141121[SCHOOL LIST],0))))</f>
        <v>0</v>
      </c>
      <c r="D20">
        <v>0</v>
      </c>
      <c r="E20">
        <f t="shared" si="0"/>
        <v>0</v>
      </c>
      <c r="F20" t="s">
        <v>199</v>
      </c>
      <c r="G20" t="s">
        <v>1794</v>
      </c>
      <c r="H20" cm="1">
        <f t="array" ref="H20">SUMPRODUCT(('ALL 498 CONSOLIDATED NEW'!$N$2:$N$503=F$1)*(F20='ALL 498 CONSOLIDATED NEW'!$K$2:$M$503)*(ISNUMBER(MATCH('ALL 498 CONSOLIDATED NEW'!$G$2:$G$503,Table1713141121[SCHOOL LIST],0))))</f>
        <v>0</v>
      </c>
      <c r="I20">
        <v>0</v>
      </c>
      <c r="J20">
        <f t="shared" si="1"/>
        <v>0</v>
      </c>
      <c r="K20" t="s">
        <v>199</v>
      </c>
      <c r="L20">
        <v>105101019</v>
      </c>
      <c r="M20" cm="1">
        <f t="array" ref="M20">SUMPRODUCT(('ALL 498 CONSOLIDATED NEW'!$N$2:$N$503=K$1)*(K20='ALL 498 CONSOLIDATED NEW'!$K$2:$M$503)*(ISNUMBER(MATCH('ALL 498 CONSOLIDATED NEW'!$G$2:$G$503,Table1713141121[SCHOOL LIST],0))))</f>
        <v>0</v>
      </c>
      <c r="N20">
        <v>0</v>
      </c>
      <c r="O20">
        <f t="shared" si="2"/>
        <v>0</v>
      </c>
    </row>
    <row r="21" spans="1:37">
      <c r="A21" t="s">
        <v>635</v>
      </c>
      <c r="B21" t="s">
        <v>1795</v>
      </c>
      <c r="C21" cm="1">
        <f t="array" ref="C21">SUMPRODUCT(('ALL 498 CONSOLIDATED NEW'!$N$2:$N$503=A$1)*(A21='ALL 498 CONSOLIDATED NEW'!$K$2:$M$503)*(ISNUMBER(MATCH('ALL 498 CONSOLIDATED NEW'!$G$2:$G$503,Table1713141121[SCHOOL LIST],0))))</f>
        <v>0</v>
      </c>
      <c r="D21">
        <v>0</v>
      </c>
      <c r="E21">
        <f t="shared" si="0"/>
        <v>0</v>
      </c>
      <c r="F21" t="s">
        <v>635</v>
      </c>
      <c r="G21" t="s">
        <v>1796</v>
      </c>
      <c r="H21" cm="1">
        <f t="array" ref="H21">SUMPRODUCT(('ALL 498 CONSOLIDATED NEW'!$N$2:$N$503=F$1)*(F21='ALL 498 CONSOLIDATED NEW'!$K$2:$M$503)*(ISNUMBER(MATCH('ALL 498 CONSOLIDATED NEW'!$G$2:$G$503,Table1713141121[SCHOOL LIST],0))))</f>
        <v>0</v>
      </c>
      <c r="I21">
        <v>0</v>
      </c>
      <c r="J21">
        <f t="shared" si="1"/>
        <v>0</v>
      </c>
      <c r="K21" t="s">
        <v>635</v>
      </c>
      <c r="L21">
        <v>105101020</v>
      </c>
      <c r="M21" cm="1">
        <f t="array" ref="M21">SUMPRODUCT(('ALL 498 CONSOLIDATED NEW'!$N$2:$N$503=K$1)*(K21='ALL 498 CONSOLIDATED NEW'!$K$2:$M$503)*(ISNUMBER(MATCH('ALL 498 CONSOLIDATED NEW'!$G$2:$G$503,Table1713141121[SCHOOL LIST],0))))</f>
        <v>0</v>
      </c>
      <c r="N21">
        <v>0</v>
      </c>
      <c r="O21">
        <f t="shared" si="2"/>
        <v>0</v>
      </c>
    </row>
    <row r="22" spans="1:37" s="20" customFormat="1" ht="30.75">
      <c r="B22" s="20" t="str">
        <f>A1</f>
        <v>Palm Pen Holder</v>
      </c>
      <c r="C22" s="20">
        <f>SUM(C2:C21)</f>
        <v>9</v>
      </c>
      <c r="D22">
        <f>SUM(D2:D21)</f>
        <v>9</v>
      </c>
      <c r="E22">
        <f t="shared" si="0"/>
        <v>0</v>
      </c>
      <c r="G22" s="20" t="str">
        <f>F1</f>
        <v>TOOTH  BRUSH ADAPTER</v>
      </c>
      <c r="H22" s="20">
        <f>SUM(H2:H21)</f>
        <v>15</v>
      </c>
      <c r="I22" s="20">
        <f>SUM(I2:I21)</f>
        <v>15</v>
      </c>
      <c r="J22">
        <f t="shared" si="1"/>
        <v>0</v>
      </c>
      <c r="L22" s="20" t="str">
        <f>K1</f>
        <v>Utensil Holder</v>
      </c>
      <c r="M22" s="20">
        <f>SUM(M2:M21)</f>
        <v>6</v>
      </c>
      <c r="N22" s="20">
        <f>SUM(N2:N21)</f>
        <v>6</v>
      </c>
      <c r="O22">
        <f t="shared" si="2"/>
        <v>0</v>
      </c>
      <c r="Q22" s="20" t="str">
        <f>P1</f>
        <v>Reading Bar - Curved</v>
      </c>
      <c r="R22" s="20">
        <f>SUM(R2:R21)</f>
        <v>14</v>
      </c>
      <c r="S22" s="20">
        <f>SUM(S2:S3)</f>
        <v>14</v>
      </c>
      <c r="T22">
        <f t="shared" ref="T22" si="3">R22-S22</f>
        <v>0</v>
      </c>
      <c r="V22" s="20" t="str">
        <f>U1</f>
        <v>Assistive Pencil Grip</v>
      </c>
      <c r="W22" s="20">
        <f>SUM(W2:W21)</f>
        <v>12</v>
      </c>
      <c r="X22" s="20">
        <f>SUM(X2:X3)</f>
        <v>12</v>
      </c>
      <c r="Y22" s="20">
        <f t="shared" ref="Y22" si="4">W22-X22</f>
        <v>0</v>
      </c>
      <c r="AA22" s="20" t="str">
        <f>Z1</f>
        <v>Button Aid</v>
      </c>
      <c r="AB22" s="20">
        <f>SUM(AB2:AB21)</f>
        <v>4</v>
      </c>
      <c r="AC22" s="20">
        <f>SUM(AC2:AC3)</f>
        <v>4</v>
      </c>
      <c r="AD22" s="20">
        <f t="shared" ref="AD22" si="5">AB22-AC22</f>
        <v>0</v>
      </c>
      <c r="AF22" s="20" t="str">
        <f>AE1</f>
        <v>LOW PROFILE SWITCH</v>
      </c>
      <c r="AG22" s="20">
        <f>SUM(AG2:AG21)</f>
        <v>0</v>
      </c>
      <c r="AH22" s="20">
        <f>SUM(AH2:AH3)</f>
        <v>0</v>
      </c>
      <c r="AI22" s="20">
        <f t="shared" ref="AI22" si="6">AG22-AH22</f>
        <v>0</v>
      </c>
      <c r="AJ22" s="20">
        <f>SUM(AG22,C22,H22,M22,R22,W22,AB22)</f>
        <v>60</v>
      </c>
      <c r="AK22" s="20" t="s">
        <v>1774</v>
      </c>
    </row>
    <row r="23" spans="1:37">
      <c r="AJ23">
        <f>SUM(C22,H22,M22,R22,W22,AB22)</f>
        <v>60</v>
      </c>
      <c r="AK23" t="s">
        <v>1797</v>
      </c>
    </row>
    <row r="24" spans="1:37">
      <c r="AJ24" s="113">
        <f>SUM(E22,J22,O22,T22,Y22,AD22)</f>
        <v>0</v>
      </c>
      <c r="AK24" s="113" t="s">
        <v>1798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2FEC-D1DD-42AD-B89D-FFF8D8DF2694}">
  <dimension ref="A1:AO24"/>
  <sheetViews>
    <sheetView workbookViewId="0">
      <pane ySplit="1" topLeftCell="Z2" activePane="bottomLeft" state="frozen"/>
      <selection pane="bottomLeft" activeCell="X3" sqref="X3"/>
    </sheetView>
  </sheetViews>
  <sheetFormatPr defaultRowHeight="15"/>
  <cols>
    <col min="2" max="2" width="10" customWidth="1"/>
    <col min="3" max="5" width="4.42578125" customWidth="1"/>
    <col min="7" max="7" width="10.140625" customWidth="1"/>
    <col min="8" max="10" width="5.28515625" customWidth="1"/>
    <col min="12" max="12" width="10.85546875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 ht="45.75">
      <c r="A1" s="20" t="s">
        <v>111</v>
      </c>
      <c r="C1" s="20" t="s">
        <v>1747</v>
      </c>
      <c r="D1" s="20" t="s">
        <v>1748</v>
      </c>
      <c r="E1" s="20" t="s">
        <v>1749</v>
      </c>
      <c r="F1" s="20" t="s">
        <v>162</v>
      </c>
      <c r="H1" s="20" t="s">
        <v>1747</v>
      </c>
      <c r="I1" s="20" t="s">
        <v>1748</v>
      </c>
      <c r="J1" s="20" t="s">
        <v>1749</v>
      </c>
      <c r="K1" s="20" t="s">
        <v>117</v>
      </c>
      <c r="M1" s="20" t="s">
        <v>1747</v>
      </c>
      <c r="N1" s="20" t="s">
        <v>1748</v>
      </c>
      <c r="O1" s="20" t="s">
        <v>1749</v>
      </c>
      <c r="P1" s="20" t="s">
        <v>188</v>
      </c>
      <c r="R1" s="20" t="s">
        <v>1747</v>
      </c>
      <c r="S1" s="20" t="s">
        <v>1748</v>
      </c>
      <c r="T1" s="20" t="s">
        <v>1749</v>
      </c>
      <c r="U1" s="20" t="s">
        <v>16</v>
      </c>
      <c r="W1" s="20" t="s">
        <v>1747</v>
      </c>
      <c r="X1" s="20" t="s">
        <v>1748</v>
      </c>
      <c r="Y1" s="20" t="s">
        <v>1749</v>
      </c>
      <c r="Z1" s="20" t="s">
        <v>122</v>
      </c>
      <c r="AB1" s="20" t="s">
        <v>1747</v>
      </c>
      <c r="AC1" s="20" t="s">
        <v>1748</v>
      </c>
      <c r="AD1" s="20" t="s">
        <v>1749</v>
      </c>
      <c r="AE1" s="20" t="s">
        <v>12</v>
      </c>
      <c r="AG1" s="20" t="s">
        <v>1747</v>
      </c>
      <c r="AH1" s="20" t="s">
        <v>1748</v>
      </c>
      <c r="AI1" s="20" t="s">
        <v>1749</v>
      </c>
      <c r="AL1" t="s">
        <v>1750</v>
      </c>
    </row>
    <row r="2" spans="1:41">
      <c r="A2" t="s">
        <v>116</v>
      </c>
      <c r="B2" t="s">
        <v>1751</v>
      </c>
      <c r="C2" cm="1">
        <f t="array" ref="C2">SUMPRODUCT(('ALL 498 CONSOLIDATED NEW'!$N$2:$N$503=A$1)*(A2='ALL 498 CONSOLIDATED NEW'!$K$2:$M$503)*(ISNUMBER(MATCH('ALL 498 CONSOLIDATED NEW'!$G$2:$G$503,Table17131411[SCHOOL LIST],0))))</f>
        <v>0</v>
      </c>
      <c r="D2">
        <v>0</v>
      </c>
      <c r="E2">
        <f>C2-D2</f>
        <v>0</v>
      </c>
      <c r="F2" t="s">
        <v>116</v>
      </c>
      <c r="G2" t="s">
        <v>1752</v>
      </c>
      <c r="H2" cm="1">
        <f t="array" ref="H2">SUMPRODUCT(('ALL 498 CONSOLIDATED NEW'!$N$2:$N$503=F$1)*(F2='ALL 498 CONSOLIDATED NEW'!$K$2:$M$503)*(ISNUMBER(MATCH('ALL 498 CONSOLIDATED NEW'!$G$2:$G$503,Table17131411[SCHOOL LIST],0))))</f>
        <v>1</v>
      </c>
      <c r="I2">
        <v>1</v>
      </c>
      <c r="J2">
        <f>H2-I2</f>
        <v>0</v>
      </c>
      <c r="K2" t="s">
        <v>116</v>
      </c>
      <c r="L2">
        <v>105101001</v>
      </c>
      <c r="M2" cm="1">
        <f t="array" ref="M2">SUMPRODUCT(('ALL 498 CONSOLIDATED NEW'!$N$2:$N$503=K$1)*(K2='ALL 498 CONSOLIDATED NEW'!$K$2:$M$503)*(ISNUMBER(MATCH('ALL 498 CONSOLIDATED NEW'!$G$2:$G$503,Table17131411[SCHOOL LIST],0))))</f>
        <v>2</v>
      </c>
      <c r="N2">
        <v>2</v>
      </c>
      <c r="O2">
        <f>M2-N2</f>
        <v>0</v>
      </c>
      <c r="P2" t="s">
        <v>186</v>
      </c>
      <c r="Q2">
        <v>302202001</v>
      </c>
      <c r="R2" cm="1">
        <f t="array" ref="R2">SUMPRODUCT(('ALL 498 CONSOLIDATED NEW'!$N$2:$N$503=P$1)*(P2='ALL 498 CONSOLIDATED NEW'!$K$2:$M$503)*(ISNUMBER(MATCH('ALL 498 CONSOLIDATED NEW'!$G$2:$G$503,Table17131411[SCHOOL LIST],0))))</f>
        <v>4</v>
      </c>
      <c r="S2">
        <v>4</v>
      </c>
      <c r="T2">
        <f>R2-S2</f>
        <v>0</v>
      </c>
      <c r="U2" t="s">
        <v>1313</v>
      </c>
      <c r="V2">
        <v>301201999</v>
      </c>
      <c r="W2" cm="1">
        <f t="array" ref="W2">SUMPRODUCT(('ALL 498 CONSOLIDATED NEW'!$N$2:$N$503=U$1)*(U2='ALL 498 CONSOLIDATED NEW'!$K$2:$M$503)*(ISNUMBER(MATCH('ALL 498 CONSOLIDATED NEW'!$G$2:$G$503,Table17131411[SCHOOL LIST],0))))</f>
        <v>4</v>
      </c>
      <c r="X2">
        <v>4</v>
      </c>
      <c r="Y2">
        <f>W2-X2</f>
        <v>0</v>
      </c>
      <c r="Z2" t="s">
        <v>1321</v>
      </c>
      <c r="AA2">
        <v>104104009</v>
      </c>
      <c r="AB2" cm="1">
        <f t="array" ref="AB2">SUMPRODUCT(('ALL 498 CONSOLIDATED NEW'!$N$2:$N$503=Z$1)*(Z2='ALL 498 CONSOLIDATED NEW'!$K$2:$M$503)*(ISNUMBER(MATCH('ALL 498 CONSOLIDATED NEW'!$G$2:$G$503,Table17131411[SCHOOL LIST],0))))</f>
        <v>0</v>
      </c>
      <c r="AC2">
        <v>0</v>
      </c>
      <c r="AD2">
        <f>AB2-AC2</f>
        <v>0</v>
      </c>
      <c r="AE2" t="s">
        <v>1365</v>
      </c>
      <c r="AF2">
        <v>204301999</v>
      </c>
      <c r="AG2" cm="1">
        <f t="array" ref="AG2">SUMPRODUCT(('ALL 498 CONSOLIDATED NEW'!$N$2:$N$503=AE$1)*(AE2='ALL 498 CONSOLIDATED NEW'!$K$2:$M$503)*(ISNUMBER(MATCH('ALL 498 CONSOLIDATED NEW'!$G$2:$G$503,Table17131411[SCHOOL LIST],0))))</f>
        <v>0</v>
      </c>
      <c r="AH2">
        <v>0</v>
      </c>
      <c r="AI2">
        <f>AG2-AH2</f>
        <v>0</v>
      </c>
      <c r="AL2" s="56" t="s">
        <v>82</v>
      </c>
    </row>
    <row r="3" spans="1:41">
      <c r="A3" t="s">
        <v>1753</v>
      </c>
      <c r="B3" t="s">
        <v>1754</v>
      </c>
      <c r="C3" cm="1">
        <f t="array" ref="C3">SUMPRODUCT(('ALL 498 CONSOLIDATED NEW'!$N$2:$N$503=A$1)*(A3='ALL 498 CONSOLIDATED NEW'!$K$2:$M$503)*(ISNUMBER(MATCH('ALL 498 CONSOLIDATED NEW'!$G$2:$G$503,Table17131411[SCHOOL LIST],0))))</f>
        <v>0</v>
      </c>
      <c r="D3">
        <v>0</v>
      </c>
      <c r="E3">
        <f t="shared" ref="E3:E22" si="0">C3-D3</f>
        <v>0</v>
      </c>
      <c r="F3" t="s">
        <v>1753</v>
      </c>
      <c r="G3" t="s">
        <v>1755</v>
      </c>
      <c r="H3" cm="1">
        <f t="array" ref="H3">SUMPRODUCT(('ALL 498 CONSOLIDATED NEW'!$N$2:$N$503=F$1)*(F3='ALL 498 CONSOLIDATED NEW'!$K$2:$M$503)*(ISNUMBER(MATCH('ALL 498 CONSOLIDATED NEW'!$G$2:$G$503,Table17131411[SCHOOL LIST],0))))</f>
        <v>0</v>
      </c>
      <c r="I3">
        <v>0</v>
      </c>
      <c r="J3">
        <f t="shared" ref="J3:J22" si="1">H3-I3</f>
        <v>0</v>
      </c>
      <c r="K3" t="s">
        <v>1753</v>
      </c>
      <c r="L3">
        <v>105101002</v>
      </c>
      <c r="M3" cm="1">
        <f t="array" ref="M3">SUMPRODUCT(('ALL 498 CONSOLIDATED NEW'!$N$2:$N$503=K$1)*(K3='ALL 498 CONSOLIDATED NEW'!$K$2:$M$503)*(ISNUMBER(MATCH('ALL 498 CONSOLIDATED NEW'!$G$2:$G$503,Table17131411[SCHOOL LIST],0))))</f>
        <v>0</v>
      </c>
      <c r="N3">
        <v>0</v>
      </c>
      <c r="O3">
        <f t="shared" ref="O3:O22" si="2">M3-N3</f>
        <v>0</v>
      </c>
      <c r="P3" t="s">
        <v>187</v>
      </c>
      <c r="Q3" t="s">
        <v>1756</v>
      </c>
      <c r="R3" cm="1">
        <f t="array" ref="R3">SUMPRODUCT(('ALL 498 CONSOLIDATED NEW'!$N$2:$N$503=P$1)*(P3='ALL 498 CONSOLIDATED NEW'!$K$2:$M$503)*(ISNUMBER(MATCH('ALL 498 CONSOLIDATED NEW'!$G$2:$G$503,Table17131411[SCHOOL LIST],0))))</f>
        <v>4</v>
      </c>
      <c r="S3">
        <v>4</v>
      </c>
      <c r="T3">
        <f>R3-S3</f>
        <v>0</v>
      </c>
      <c r="AL3" s="56" t="s">
        <v>195</v>
      </c>
      <c r="AM3" t="s">
        <v>1291</v>
      </c>
      <c r="AN3" t="s">
        <v>1304</v>
      </c>
      <c r="AO3" t="s">
        <v>1293</v>
      </c>
    </row>
    <row r="4" spans="1:41">
      <c r="A4" t="s">
        <v>109</v>
      </c>
      <c r="B4" t="s">
        <v>1757</v>
      </c>
      <c r="C4" cm="1">
        <f t="array" ref="C4">SUMPRODUCT(('ALL 498 CONSOLIDATED NEW'!$N$2:$N$503=A$1)*(A4='ALL 498 CONSOLIDATED NEW'!$K$2:$M$503)*(ISNUMBER(MATCH('ALL 498 CONSOLIDATED NEW'!$G$2:$G$503,Table17131411[SCHOOL LIST],0))))</f>
        <v>2</v>
      </c>
      <c r="D4">
        <v>2</v>
      </c>
      <c r="E4">
        <f t="shared" si="0"/>
        <v>0</v>
      </c>
      <c r="F4" t="s">
        <v>109</v>
      </c>
      <c r="G4" t="s">
        <v>1758</v>
      </c>
      <c r="H4" cm="1">
        <f t="array" ref="H4">SUMPRODUCT(('ALL 498 CONSOLIDATED NEW'!$N$2:$N$503=F$1)*(F4='ALL 498 CONSOLIDATED NEW'!$K$2:$M$503)*(ISNUMBER(MATCH('ALL 498 CONSOLIDATED NEW'!$G$2:$G$503,Table17131411[SCHOOL LIST],0))))</f>
        <v>1</v>
      </c>
      <c r="I4">
        <v>1</v>
      </c>
      <c r="J4">
        <f t="shared" si="1"/>
        <v>0</v>
      </c>
      <c r="K4" t="s">
        <v>109</v>
      </c>
      <c r="L4">
        <v>105101003</v>
      </c>
      <c r="M4" cm="1">
        <f t="array" ref="M4">SUMPRODUCT(('ALL 498 CONSOLIDATED NEW'!$N$2:$N$503=K$1)*(K4='ALL 498 CONSOLIDATED NEW'!$K$2:$M$503)*(ISNUMBER(MATCH('ALL 498 CONSOLIDATED NEW'!$G$2:$G$503,Table17131411[SCHOOL LIST],0))))</f>
        <v>6</v>
      </c>
      <c r="N4">
        <v>6</v>
      </c>
      <c r="O4">
        <f t="shared" si="2"/>
        <v>0</v>
      </c>
      <c r="AL4" s="56" t="s">
        <v>73</v>
      </c>
      <c r="AM4">
        <v>1</v>
      </c>
      <c r="AN4" t="s">
        <v>111</v>
      </c>
      <c r="AO4">
        <f>C22/3</f>
        <v>16</v>
      </c>
    </row>
    <row r="5" spans="1:41">
      <c r="A5" t="s">
        <v>1759</v>
      </c>
      <c r="B5" t="s">
        <v>1760</v>
      </c>
      <c r="C5" cm="1">
        <f t="array" ref="C5">SUMPRODUCT(('ALL 498 CONSOLIDATED NEW'!$N$2:$N$503=A$1)*(A5='ALL 498 CONSOLIDATED NEW'!$K$2:$M$503)*(ISNUMBER(MATCH('ALL 498 CONSOLIDATED NEW'!$G$2:$G$503,Table17131411[SCHOOL LIST],0))))</f>
        <v>0</v>
      </c>
      <c r="D5">
        <v>0</v>
      </c>
      <c r="E5">
        <f t="shared" si="0"/>
        <v>0</v>
      </c>
      <c r="F5" t="s">
        <v>1759</v>
      </c>
      <c r="G5" t="s">
        <v>1761</v>
      </c>
      <c r="H5" cm="1">
        <f t="array" ref="H5">SUMPRODUCT(('ALL 498 CONSOLIDATED NEW'!$N$2:$N$503=F$1)*(F5='ALL 498 CONSOLIDATED NEW'!$K$2:$M$503)*(ISNUMBER(MATCH('ALL 498 CONSOLIDATED NEW'!$G$2:$G$503,Table17131411[SCHOOL LIST],0))))</f>
        <v>0</v>
      </c>
      <c r="I5">
        <v>0</v>
      </c>
      <c r="J5">
        <f t="shared" si="1"/>
        <v>0</v>
      </c>
      <c r="K5" t="s">
        <v>1759</v>
      </c>
      <c r="L5">
        <v>105101004</v>
      </c>
      <c r="M5" cm="1">
        <f t="array" ref="M5">SUMPRODUCT(('ALL 498 CONSOLIDATED NEW'!$N$2:$N$503=K$1)*(K5='ALL 498 CONSOLIDATED NEW'!$K$2:$M$503)*(ISNUMBER(MATCH('ALL 498 CONSOLIDATED NEW'!$G$2:$G$503,Table17131411[SCHOOL LIST],0))))</f>
        <v>0</v>
      </c>
      <c r="N5">
        <v>0</v>
      </c>
      <c r="O5">
        <f t="shared" si="2"/>
        <v>0</v>
      </c>
      <c r="AL5" s="87" t="s">
        <v>72</v>
      </c>
      <c r="AM5">
        <v>2</v>
      </c>
      <c r="AN5" t="s">
        <v>162</v>
      </c>
      <c r="AO5">
        <f>H22/3</f>
        <v>14</v>
      </c>
    </row>
    <row r="6" spans="1:41">
      <c r="A6" t="s">
        <v>130</v>
      </c>
      <c r="B6" t="s">
        <v>1762</v>
      </c>
      <c r="C6" cm="1">
        <f t="array" ref="C6">SUMPRODUCT(('ALL 498 CONSOLIDATED NEW'!$N$2:$N$503=A$1)*(A6='ALL 498 CONSOLIDATED NEW'!$K$2:$M$503)*(ISNUMBER(MATCH('ALL 498 CONSOLIDATED NEW'!$G$2:$G$503,Table17131411[SCHOOL LIST],0))))</f>
        <v>2</v>
      </c>
      <c r="D6">
        <v>2</v>
      </c>
      <c r="E6">
        <f t="shared" si="0"/>
        <v>0</v>
      </c>
      <c r="F6" t="s">
        <v>130</v>
      </c>
      <c r="G6" t="s">
        <v>1763</v>
      </c>
      <c r="H6" cm="1">
        <f t="array" ref="H6">SUMPRODUCT(('ALL 498 CONSOLIDATED NEW'!$N$2:$N$503=F$1)*(F6='ALL 498 CONSOLIDATED NEW'!$K$2:$M$503)*(ISNUMBER(MATCH('ALL 498 CONSOLIDATED NEW'!$G$2:$G$503,Table17131411[SCHOOL LIST],0))))</f>
        <v>2</v>
      </c>
      <c r="I6">
        <v>2</v>
      </c>
      <c r="J6">
        <f t="shared" si="1"/>
        <v>0</v>
      </c>
      <c r="K6" t="s">
        <v>130</v>
      </c>
      <c r="L6">
        <v>105101005</v>
      </c>
      <c r="M6" cm="1">
        <f t="array" ref="M6">SUMPRODUCT(('ALL 498 CONSOLIDATED NEW'!$N$2:$N$503=K$1)*(K6='ALL 498 CONSOLIDATED NEW'!$K$2:$M$503)*(ISNUMBER(MATCH('ALL 498 CONSOLIDATED NEW'!$G$2:$G$503,Table17131411[SCHOOL LIST],0))))</f>
        <v>6</v>
      </c>
      <c r="N6">
        <v>6</v>
      </c>
      <c r="O6">
        <f t="shared" si="2"/>
        <v>0</v>
      </c>
      <c r="AL6" s="87" t="s">
        <v>84</v>
      </c>
      <c r="AM6">
        <v>3</v>
      </c>
      <c r="AN6" t="s">
        <v>117</v>
      </c>
      <c r="AO6">
        <f>M22/3</f>
        <v>18</v>
      </c>
    </row>
    <row r="7" spans="1:41">
      <c r="A7" t="s">
        <v>443</v>
      </c>
      <c r="B7" t="s">
        <v>1764</v>
      </c>
      <c r="C7" cm="1">
        <f t="array" ref="C7">SUMPRODUCT(('ALL 498 CONSOLIDATED NEW'!$N$2:$N$503=A$1)*(A7='ALL 498 CONSOLIDATED NEW'!$K$2:$M$503)*(ISNUMBER(MATCH('ALL 498 CONSOLIDATED NEW'!$G$2:$G$503,Table17131411[SCHOOL LIST],0))))</f>
        <v>0</v>
      </c>
      <c r="D7">
        <v>0</v>
      </c>
      <c r="E7">
        <f t="shared" si="0"/>
        <v>0</v>
      </c>
      <c r="F7" t="s">
        <v>443</v>
      </c>
      <c r="G7" t="s">
        <v>1765</v>
      </c>
      <c r="H7" cm="1">
        <f t="array" ref="H7">SUMPRODUCT(('ALL 498 CONSOLIDATED NEW'!$N$2:$N$503=F$1)*(F7='ALL 498 CONSOLIDATED NEW'!$K$2:$M$503)*(ISNUMBER(MATCH('ALL 498 CONSOLIDATED NEW'!$G$2:$G$503,Table17131411[SCHOOL LIST],0))))</f>
        <v>0</v>
      </c>
      <c r="I7">
        <v>0</v>
      </c>
      <c r="J7">
        <f t="shared" si="1"/>
        <v>0</v>
      </c>
      <c r="K7" t="s">
        <v>443</v>
      </c>
      <c r="L7">
        <v>105101006</v>
      </c>
      <c r="M7" cm="1">
        <f t="array" ref="M7">SUMPRODUCT(('ALL 498 CONSOLIDATED NEW'!$N$2:$N$503=K$1)*(K7='ALL 498 CONSOLIDATED NEW'!$K$2:$M$503)*(ISNUMBER(MATCH('ALL 498 CONSOLIDATED NEW'!$G$2:$G$503,Table17131411[SCHOOL LIST],0))))</f>
        <v>0</v>
      </c>
      <c r="N7">
        <v>0</v>
      </c>
      <c r="O7">
        <f t="shared" si="2"/>
        <v>0</v>
      </c>
      <c r="AL7" s="87" t="s">
        <v>88</v>
      </c>
      <c r="AM7">
        <v>4</v>
      </c>
      <c r="AN7" t="s">
        <v>188</v>
      </c>
      <c r="AO7">
        <f>R22/2</f>
        <v>4</v>
      </c>
    </row>
    <row r="8" spans="1:41">
      <c r="A8" t="s">
        <v>110</v>
      </c>
      <c r="B8" t="s">
        <v>1766</v>
      </c>
      <c r="C8" cm="1">
        <f t="array" ref="C8">SUMPRODUCT(('ALL 498 CONSOLIDATED NEW'!$N$2:$N$503=A$1)*(A8='ALL 498 CONSOLIDATED NEW'!$K$2:$M$503)*(ISNUMBER(MATCH('ALL 498 CONSOLIDATED NEW'!$G$2:$G$503,Table17131411[SCHOOL LIST],0))))</f>
        <v>4</v>
      </c>
      <c r="D8">
        <v>4</v>
      </c>
      <c r="E8">
        <f t="shared" si="0"/>
        <v>0</v>
      </c>
      <c r="F8" t="s">
        <v>110</v>
      </c>
      <c r="G8" t="s">
        <v>1767</v>
      </c>
      <c r="H8" cm="1">
        <f t="array" ref="H8">SUMPRODUCT(('ALL 498 CONSOLIDATED NEW'!$N$2:$N$503=F$1)*(F8='ALL 498 CONSOLIDATED NEW'!$K$2:$M$503)*(ISNUMBER(MATCH('ALL 498 CONSOLIDATED NEW'!$G$2:$G$503,Table17131411[SCHOOL LIST],0))))</f>
        <v>3</v>
      </c>
      <c r="I8">
        <v>3</v>
      </c>
      <c r="J8">
        <f t="shared" si="1"/>
        <v>0</v>
      </c>
      <c r="K8" t="s">
        <v>110</v>
      </c>
      <c r="L8">
        <v>105101007</v>
      </c>
      <c r="M8" cm="1">
        <f t="array" ref="M8">SUMPRODUCT(('ALL 498 CONSOLIDATED NEW'!$N$2:$N$503=K$1)*(K8='ALL 498 CONSOLIDATED NEW'!$K$2:$M$503)*(ISNUMBER(MATCH('ALL 498 CONSOLIDATED NEW'!$G$2:$G$503,Table17131411[SCHOOL LIST],0))))</f>
        <v>12</v>
      </c>
      <c r="N8">
        <v>12</v>
      </c>
      <c r="O8">
        <f t="shared" si="2"/>
        <v>0</v>
      </c>
      <c r="AL8" s="56"/>
      <c r="AM8">
        <v>5</v>
      </c>
      <c r="AN8" t="s">
        <v>16</v>
      </c>
      <c r="AO8">
        <f>W22/2</f>
        <v>2</v>
      </c>
    </row>
    <row r="9" spans="1:41">
      <c r="A9" t="s">
        <v>108</v>
      </c>
      <c r="B9" t="s">
        <v>1768</v>
      </c>
      <c r="C9" cm="1">
        <f t="array" ref="C9">SUMPRODUCT(('ALL 498 CONSOLIDATED NEW'!$N$2:$N$503=A$1)*(A9='ALL 498 CONSOLIDATED NEW'!$K$2:$M$503)*(ISNUMBER(MATCH('ALL 498 CONSOLIDATED NEW'!$G$2:$G$503,Table17131411[SCHOOL LIST],0))))</f>
        <v>11</v>
      </c>
      <c r="D9">
        <v>11</v>
      </c>
      <c r="E9">
        <f t="shared" si="0"/>
        <v>0</v>
      </c>
      <c r="F9" t="s">
        <v>108</v>
      </c>
      <c r="G9" t="s">
        <v>1769</v>
      </c>
      <c r="H9" cm="1">
        <f t="array" ref="H9">SUMPRODUCT(('ALL 498 CONSOLIDATED NEW'!$N$2:$N$503=F$1)*(F9='ALL 498 CONSOLIDATED NEW'!$K$2:$M$503)*(ISNUMBER(MATCH('ALL 498 CONSOLIDATED NEW'!$G$2:$G$503,Table17131411[SCHOOL LIST],0))))</f>
        <v>8</v>
      </c>
      <c r="I9">
        <v>8</v>
      </c>
      <c r="J9">
        <f t="shared" si="1"/>
        <v>0</v>
      </c>
      <c r="K9" t="s">
        <v>108</v>
      </c>
      <c r="L9">
        <v>105101008</v>
      </c>
      <c r="M9" cm="1">
        <f t="array" ref="M9">SUMPRODUCT(('ALL 498 CONSOLIDATED NEW'!$N$2:$N$503=K$1)*(K9='ALL 498 CONSOLIDATED NEW'!$K$2:$M$503)*(ISNUMBER(MATCH('ALL 498 CONSOLIDATED NEW'!$G$2:$G$503,Table17131411[SCHOOL LIST],0))))</f>
        <v>13</v>
      </c>
      <c r="N9">
        <v>13</v>
      </c>
      <c r="O9">
        <f t="shared" si="2"/>
        <v>0</v>
      </c>
      <c r="AL9" s="56"/>
      <c r="AM9">
        <v>6</v>
      </c>
      <c r="AN9" t="s">
        <v>122</v>
      </c>
      <c r="AO9">
        <f>AB22</f>
        <v>0</v>
      </c>
    </row>
    <row r="10" spans="1:41">
      <c r="A10" t="s">
        <v>250</v>
      </c>
      <c r="B10" t="s">
        <v>1770</v>
      </c>
      <c r="C10" cm="1">
        <f t="array" ref="C10">SUMPRODUCT(('ALL 498 CONSOLIDATED NEW'!$N$2:$N$503=A$1)*(A10='ALL 498 CONSOLIDATED NEW'!$K$2:$M$503)*(ISNUMBER(MATCH('ALL 498 CONSOLIDATED NEW'!$G$2:$G$503,Table17131411[SCHOOL LIST],0))))</f>
        <v>0</v>
      </c>
      <c r="D10">
        <v>0</v>
      </c>
      <c r="E10">
        <f t="shared" si="0"/>
        <v>0</v>
      </c>
      <c r="F10" t="s">
        <v>250</v>
      </c>
      <c r="G10" t="s">
        <v>1771</v>
      </c>
      <c r="H10" cm="1">
        <f t="array" ref="H10">SUMPRODUCT(('ALL 498 CONSOLIDATED NEW'!$N$2:$N$503=F$1)*(F10='ALL 498 CONSOLIDATED NEW'!$K$2:$M$503)*(ISNUMBER(MATCH('ALL 498 CONSOLIDATED NEW'!$G$2:$G$503,Table17131411[SCHOOL LIST],0))))</f>
        <v>0</v>
      </c>
      <c r="I10">
        <v>0</v>
      </c>
      <c r="J10">
        <f t="shared" si="1"/>
        <v>0</v>
      </c>
      <c r="K10" t="s">
        <v>250</v>
      </c>
      <c r="L10">
        <v>105101009</v>
      </c>
      <c r="M10" cm="1">
        <f t="array" ref="M10">SUMPRODUCT(('ALL 498 CONSOLIDATED NEW'!$N$2:$N$503=K$1)*(K10='ALL 498 CONSOLIDATED NEW'!$K$2:$M$503)*(ISNUMBER(MATCH('ALL 498 CONSOLIDATED NEW'!$G$2:$G$503,Table17131411[SCHOOL LIST],0))))</f>
        <v>0</v>
      </c>
      <c r="N10">
        <v>0</v>
      </c>
      <c r="O10">
        <f t="shared" si="2"/>
        <v>0</v>
      </c>
      <c r="AL10" s="56"/>
      <c r="AM10">
        <v>7</v>
      </c>
      <c r="AN10" t="s">
        <v>12</v>
      </c>
      <c r="AO10">
        <f>AG22</f>
        <v>0</v>
      </c>
    </row>
    <row r="11" spans="1:41">
      <c r="A11" t="s">
        <v>135</v>
      </c>
      <c r="B11" t="s">
        <v>1772</v>
      </c>
      <c r="C11" cm="1">
        <f t="array" ref="C11">SUMPRODUCT(('ALL 498 CONSOLIDATED NEW'!$N$2:$N$503=A$1)*(A11='ALL 498 CONSOLIDATED NEW'!$K$2:$M$503)*(ISNUMBER(MATCH('ALL 498 CONSOLIDATED NEW'!$G$2:$G$503,Table17131411[SCHOOL LIST],0))))</f>
        <v>9</v>
      </c>
      <c r="D11">
        <v>9</v>
      </c>
      <c r="E11">
        <f t="shared" si="0"/>
        <v>0</v>
      </c>
      <c r="F11" t="s">
        <v>135</v>
      </c>
      <c r="G11" t="s">
        <v>1773</v>
      </c>
      <c r="H11" cm="1">
        <f t="array" ref="H11">SUMPRODUCT(('ALL 498 CONSOLIDATED NEW'!$N$2:$N$503=F$1)*(F11='ALL 498 CONSOLIDATED NEW'!$K$2:$M$503)*(ISNUMBER(MATCH('ALL 498 CONSOLIDATED NEW'!$G$2:$G$503,Table17131411[SCHOOL LIST],0))))</f>
        <v>10</v>
      </c>
      <c r="I11">
        <v>10</v>
      </c>
      <c r="J11">
        <f t="shared" si="1"/>
        <v>0</v>
      </c>
      <c r="K11" t="s">
        <v>135</v>
      </c>
      <c r="L11">
        <v>105101010</v>
      </c>
      <c r="M11" cm="1">
        <f t="array" ref="M11">SUMPRODUCT(('ALL 498 CONSOLIDATED NEW'!$N$2:$N$503=K$1)*(K11='ALL 498 CONSOLIDATED NEW'!$K$2:$M$503)*(ISNUMBER(MATCH('ALL 498 CONSOLIDATED NEW'!$G$2:$G$503,Table17131411[SCHOOL LIST],0))))</f>
        <v>5</v>
      </c>
      <c r="N11">
        <v>5</v>
      </c>
      <c r="O11">
        <f t="shared" si="2"/>
        <v>0</v>
      </c>
      <c r="AL11" s="56"/>
      <c r="AN11" s="99" t="s">
        <v>1774</v>
      </c>
      <c r="AO11">
        <f>SUM(AO4:AO10)</f>
        <v>54</v>
      </c>
    </row>
    <row r="12" spans="1:41">
      <c r="A12" t="s">
        <v>150</v>
      </c>
      <c r="B12" t="s">
        <v>1775</v>
      </c>
      <c r="C12" cm="1">
        <f t="array" ref="C12">SUMPRODUCT(('ALL 498 CONSOLIDATED NEW'!$N$2:$N$503=A$1)*(A12='ALL 498 CONSOLIDATED NEW'!$K$2:$M$503)*(ISNUMBER(MATCH('ALL 498 CONSOLIDATED NEW'!$G$2:$G$503,Table17131411[SCHOOL LIST],0))))</f>
        <v>2</v>
      </c>
      <c r="D12">
        <v>2</v>
      </c>
      <c r="E12">
        <f t="shared" si="0"/>
        <v>0</v>
      </c>
      <c r="F12" t="s">
        <v>150</v>
      </c>
      <c r="G12" t="s">
        <v>1776</v>
      </c>
      <c r="H12" cm="1">
        <f t="array" ref="H12">SUMPRODUCT(('ALL 498 CONSOLIDATED NEW'!$N$2:$N$503=F$1)*(F12='ALL 498 CONSOLIDATED NEW'!$K$2:$M$503)*(ISNUMBER(MATCH('ALL 498 CONSOLIDATED NEW'!$G$2:$G$503,Table17131411[SCHOOL LIST],0))))</f>
        <v>1</v>
      </c>
      <c r="I12">
        <v>1</v>
      </c>
      <c r="J12">
        <f t="shared" si="1"/>
        <v>0</v>
      </c>
      <c r="K12" t="s">
        <v>150</v>
      </c>
      <c r="L12">
        <v>105101011</v>
      </c>
      <c r="M12" cm="1">
        <f t="array" ref="M12">SUMPRODUCT(('ALL 498 CONSOLIDATED NEW'!$N$2:$N$503=K$1)*(K12='ALL 498 CONSOLIDATED NEW'!$K$2:$M$503)*(ISNUMBER(MATCH('ALL 498 CONSOLIDATED NEW'!$G$2:$G$503,Table17131411[SCHOOL LIST],0))))</f>
        <v>2</v>
      </c>
      <c r="N12">
        <v>2</v>
      </c>
      <c r="O12">
        <f t="shared" si="2"/>
        <v>0</v>
      </c>
      <c r="AL12" s="56"/>
      <c r="AN12" s="99" t="s">
        <v>1777</v>
      </c>
      <c r="AO12">
        <f>SUM(AO4:AO9)</f>
        <v>54</v>
      </c>
    </row>
    <row r="13" spans="1:41">
      <c r="A13" t="s">
        <v>846</v>
      </c>
      <c r="B13" t="s">
        <v>1778</v>
      </c>
      <c r="C13" cm="1">
        <f t="array" ref="C13">SUMPRODUCT(('ALL 498 CONSOLIDATED NEW'!$N$2:$N$503=A$1)*(A13='ALL 498 CONSOLIDATED NEW'!$K$2:$M$503)*(ISNUMBER(MATCH('ALL 498 CONSOLIDATED NEW'!$G$2:$G$503,Table17131411[SCHOOL LIST],0))))</f>
        <v>0</v>
      </c>
      <c r="D13">
        <v>0</v>
      </c>
      <c r="E13">
        <f t="shared" si="0"/>
        <v>0</v>
      </c>
      <c r="F13" t="s">
        <v>846</v>
      </c>
      <c r="G13" t="s">
        <v>1779</v>
      </c>
      <c r="H13" cm="1">
        <f t="array" ref="H13">SUMPRODUCT(('ALL 498 CONSOLIDATED NEW'!$N$2:$N$503=F$1)*(F13='ALL 498 CONSOLIDATED NEW'!$K$2:$M$503)*(ISNUMBER(MATCH('ALL 498 CONSOLIDATED NEW'!$G$2:$G$503,Table17131411[SCHOOL LIST],0))))</f>
        <v>0</v>
      </c>
      <c r="I13">
        <v>0</v>
      </c>
      <c r="J13">
        <f t="shared" si="1"/>
        <v>0</v>
      </c>
      <c r="K13" t="s">
        <v>846</v>
      </c>
      <c r="L13">
        <v>105101012</v>
      </c>
      <c r="M13" cm="1">
        <f t="array" ref="M13">SUMPRODUCT(('ALL 498 CONSOLIDATED NEW'!$N$2:$N$503=K$1)*(K13='ALL 498 CONSOLIDATED NEW'!$K$2:$M$503)*(ISNUMBER(MATCH('ALL 498 CONSOLIDATED NEW'!$G$2:$G$503,Table17131411[SCHOOL LIST],0))))</f>
        <v>0</v>
      </c>
      <c r="N13">
        <v>0</v>
      </c>
      <c r="O13">
        <f t="shared" si="2"/>
        <v>0</v>
      </c>
      <c r="AL13" s="98"/>
    </row>
    <row r="14" spans="1:41">
      <c r="A14" t="s">
        <v>251</v>
      </c>
      <c r="B14" t="s">
        <v>1780</v>
      </c>
      <c r="C14" cm="1">
        <f t="array" ref="C14">SUMPRODUCT(('ALL 498 CONSOLIDATED NEW'!$N$2:$N$503=A$1)*(A14='ALL 498 CONSOLIDATED NEW'!$K$2:$M$503)*(ISNUMBER(MATCH('ALL 498 CONSOLIDATED NEW'!$G$2:$G$503,Table17131411[SCHOOL LIST],0))))</f>
        <v>0</v>
      </c>
      <c r="D14">
        <v>0</v>
      </c>
      <c r="E14">
        <f t="shared" si="0"/>
        <v>0</v>
      </c>
      <c r="F14" t="s">
        <v>251</v>
      </c>
      <c r="G14" t="s">
        <v>1781</v>
      </c>
      <c r="H14" cm="1">
        <f t="array" ref="H14">SUMPRODUCT(('ALL 498 CONSOLIDATED NEW'!$N$2:$N$503=F$1)*(F14='ALL 498 CONSOLIDATED NEW'!$K$2:$M$503)*(ISNUMBER(MATCH('ALL 498 CONSOLIDATED NEW'!$G$2:$G$503,Table17131411[SCHOOL LIST],0))))</f>
        <v>0</v>
      </c>
      <c r="I14">
        <v>0</v>
      </c>
      <c r="J14">
        <f t="shared" si="1"/>
        <v>0</v>
      </c>
      <c r="K14" t="s">
        <v>251</v>
      </c>
      <c r="L14">
        <v>105101013</v>
      </c>
      <c r="M14" cm="1">
        <f t="array" ref="M14">SUMPRODUCT(('ALL 498 CONSOLIDATED NEW'!$N$2:$N$503=K$1)*(K14='ALL 498 CONSOLIDATED NEW'!$K$2:$M$503)*(ISNUMBER(MATCH('ALL 498 CONSOLIDATED NEW'!$G$2:$G$503,Table17131411[SCHOOL LIST],0))))</f>
        <v>0</v>
      </c>
      <c r="N14">
        <v>0</v>
      </c>
      <c r="O14">
        <f t="shared" si="2"/>
        <v>0</v>
      </c>
    </row>
    <row r="15" spans="1:41">
      <c r="A15" t="s">
        <v>136</v>
      </c>
      <c r="B15" t="s">
        <v>1782</v>
      </c>
      <c r="C15" cm="1">
        <f t="array" ref="C15">SUMPRODUCT(('ALL 498 CONSOLIDATED NEW'!$N$2:$N$503=A$1)*(A15='ALL 498 CONSOLIDATED NEW'!$K$2:$M$503)*(ISNUMBER(MATCH('ALL 498 CONSOLIDATED NEW'!$G$2:$G$503,Table17131411[SCHOOL LIST],0))))</f>
        <v>9</v>
      </c>
      <c r="D15">
        <v>9</v>
      </c>
      <c r="E15">
        <f t="shared" si="0"/>
        <v>0</v>
      </c>
      <c r="F15" t="s">
        <v>136</v>
      </c>
      <c r="G15" t="s">
        <v>1783</v>
      </c>
      <c r="H15" cm="1">
        <f t="array" ref="H15">SUMPRODUCT(('ALL 498 CONSOLIDATED NEW'!$N$2:$N$503=F$1)*(F15='ALL 498 CONSOLIDATED NEW'!$K$2:$M$503)*(ISNUMBER(MATCH('ALL 498 CONSOLIDATED NEW'!$G$2:$G$503,Table17131411[SCHOOL LIST],0))))</f>
        <v>6</v>
      </c>
      <c r="I15">
        <v>6</v>
      </c>
      <c r="J15">
        <f t="shared" si="1"/>
        <v>0</v>
      </c>
      <c r="K15" t="s">
        <v>136</v>
      </c>
      <c r="L15">
        <v>105101014</v>
      </c>
      <c r="M15" cm="1">
        <f t="array" ref="M15">SUMPRODUCT(('ALL 498 CONSOLIDATED NEW'!$N$2:$N$503=K$1)*(K15='ALL 498 CONSOLIDATED NEW'!$K$2:$M$503)*(ISNUMBER(MATCH('ALL 498 CONSOLIDATED NEW'!$G$2:$G$503,Table17131411[SCHOOL LIST],0))))</f>
        <v>4</v>
      </c>
      <c r="N15">
        <v>4</v>
      </c>
      <c r="O15">
        <f t="shared" si="2"/>
        <v>0</v>
      </c>
    </row>
    <row r="16" spans="1:41">
      <c r="A16" t="s">
        <v>198</v>
      </c>
      <c r="B16" t="s">
        <v>1784</v>
      </c>
      <c r="C16" cm="1">
        <f t="array" ref="C16">SUMPRODUCT(('ALL 498 CONSOLIDATED NEW'!$N$2:$N$503=A$1)*(A16='ALL 498 CONSOLIDATED NEW'!$K$2:$M$503)*(ISNUMBER(MATCH('ALL 498 CONSOLIDATED NEW'!$G$2:$G$503,Table17131411[SCHOOL LIST],0))))</f>
        <v>3</v>
      </c>
      <c r="D16">
        <v>3</v>
      </c>
      <c r="E16">
        <f t="shared" si="0"/>
        <v>0</v>
      </c>
      <c r="F16" t="s">
        <v>198</v>
      </c>
      <c r="G16" t="s">
        <v>1785</v>
      </c>
      <c r="H16" cm="1">
        <f t="array" ref="H16">SUMPRODUCT(('ALL 498 CONSOLIDATED NEW'!$N$2:$N$503=F$1)*(F16='ALL 498 CONSOLIDATED NEW'!$K$2:$M$503)*(ISNUMBER(MATCH('ALL 498 CONSOLIDATED NEW'!$G$2:$G$503,Table17131411[SCHOOL LIST],0))))</f>
        <v>8</v>
      </c>
      <c r="I16">
        <v>8</v>
      </c>
      <c r="J16">
        <f t="shared" si="1"/>
        <v>0</v>
      </c>
      <c r="K16" t="s">
        <v>198</v>
      </c>
      <c r="L16">
        <v>105101015</v>
      </c>
      <c r="M16" cm="1">
        <f t="array" ref="M16">SUMPRODUCT(('ALL 498 CONSOLIDATED NEW'!$N$2:$N$503=K$1)*(K16='ALL 498 CONSOLIDATED NEW'!$K$2:$M$503)*(ISNUMBER(MATCH('ALL 498 CONSOLIDATED NEW'!$G$2:$G$503,Table17131411[SCHOOL LIST],0))))</f>
        <v>2</v>
      </c>
      <c r="N16">
        <v>2</v>
      </c>
      <c r="O16">
        <f t="shared" si="2"/>
        <v>0</v>
      </c>
    </row>
    <row r="17" spans="1:37">
      <c r="A17" t="s">
        <v>200</v>
      </c>
      <c r="B17" t="s">
        <v>1786</v>
      </c>
      <c r="C17" cm="1">
        <f t="array" ref="C17">SUMPRODUCT(('ALL 498 CONSOLIDATED NEW'!$N$2:$N$503=A$1)*(A17='ALL 498 CONSOLIDATED NEW'!$K$2:$M$503)*(ISNUMBER(MATCH('ALL 498 CONSOLIDATED NEW'!$G$2:$G$503,Table17131411[SCHOOL LIST],0))))</f>
        <v>3</v>
      </c>
      <c r="D17">
        <v>3</v>
      </c>
      <c r="E17">
        <f t="shared" si="0"/>
        <v>0</v>
      </c>
      <c r="F17" t="s">
        <v>200</v>
      </c>
      <c r="G17" t="s">
        <v>1787</v>
      </c>
      <c r="H17" cm="1">
        <f t="array" ref="H17">SUMPRODUCT(('ALL 498 CONSOLIDATED NEW'!$N$2:$N$503=F$1)*(F17='ALL 498 CONSOLIDATED NEW'!$K$2:$M$503)*(ISNUMBER(MATCH('ALL 498 CONSOLIDATED NEW'!$G$2:$G$503,Table17131411[SCHOOL LIST],0))))</f>
        <v>1</v>
      </c>
      <c r="I17">
        <v>1</v>
      </c>
      <c r="J17">
        <f t="shared" si="1"/>
        <v>0</v>
      </c>
      <c r="K17" t="s">
        <v>200</v>
      </c>
      <c r="L17">
        <v>105101016</v>
      </c>
      <c r="M17" cm="1">
        <f t="array" ref="M17">SUMPRODUCT(('ALL 498 CONSOLIDATED NEW'!$N$2:$N$503=K$1)*(K17='ALL 498 CONSOLIDATED NEW'!$K$2:$M$503)*(ISNUMBER(MATCH('ALL 498 CONSOLIDATED NEW'!$G$2:$G$503,Table17131411[SCHOOL LIST],0))))</f>
        <v>1</v>
      </c>
      <c r="N17">
        <v>1</v>
      </c>
      <c r="O17">
        <f t="shared" si="2"/>
        <v>0</v>
      </c>
    </row>
    <row r="18" spans="1:37">
      <c r="A18" t="s">
        <v>1788</v>
      </c>
      <c r="B18" t="s">
        <v>1789</v>
      </c>
      <c r="C18" cm="1">
        <f t="array" ref="C18">SUMPRODUCT(('ALL 498 CONSOLIDATED NEW'!$N$2:$N$503=A$1)*(A18='ALL 498 CONSOLIDATED NEW'!$K$2:$M$503)*(ISNUMBER(MATCH('ALL 498 CONSOLIDATED NEW'!$G$2:$G$503,Table17131411[SCHOOL LIST],0))))</f>
        <v>0</v>
      </c>
      <c r="D18">
        <v>0</v>
      </c>
      <c r="E18">
        <f t="shared" si="0"/>
        <v>0</v>
      </c>
      <c r="F18" t="s">
        <v>1788</v>
      </c>
      <c r="G18" t="s">
        <v>1790</v>
      </c>
      <c r="H18" cm="1">
        <f t="array" ref="H18">SUMPRODUCT(('ALL 498 CONSOLIDATED NEW'!$N$2:$N$503=F$1)*(F18='ALL 498 CONSOLIDATED NEW'!$K$2:$M$503)*(ISNUMBER(MATCH('ALL 498 CONSOLIDATED NEW'!$G$2:$G$503,Table17131411[SCHOOL LIST],0))))</f>
        <v>0</v>
      </c>
      <c r="I18">
        <v>0</v>
      </c>
      <c r="J18">
        <f t="shared" si="1"/>
        <v>0</v>
      </c>
      <c r="K18" t="s">
        <v>1788</v>
      </c>
      <c r="L18">
        <v>105101017</v>
      </c>
      <c r="M18" cm="1">
        <f t="array" ref="M18">SUMPRODUCT(('ALL 498 CONSOLIDATED NEW'!$N$2:$N$503=K$1)*(K18='ALL 498 CONSOLIDATED NEW'!$K$2:$M$503)*(ISNUMBER(MATCH('ALL 498 CONSOLIDATED NEW'!$G$2:$G$503,Table17131411[SCHOOL LIST],0))))</f>
        <v>0</v>
      </c>
      <c r="N18">
        <v>0</v>
      </c>
      <c r="O18">
        <f t="shared" si="2"/>
        <v>0</v>
      </c>
    </row>
    <row r="19" spans="1:37">
      <c r="A19" t="s">
        <v>315</v>
      </c>
      <c r="B19" t="s">
        <v>1791</v>
      </c>
      <c r="C19" cm="1">
        <f t="array" ref="C19">SUMPRODUCT(('ALL 498 CONSOLIDATED NEW'!$N$2:$N$503=A$1)*(A19='ALL 498 CONSOLIDATED NEW'!$K$2:$M$503)*(ISNUMBER(MATCH('ALL 498 CONSOLIDATED NEW'!$G$2:$G$503,Table17131411[SCHOOL LIST],0))))</f>
        <v>0</v>
      </c>
      <c r="D19">
        <v>0</v>
      </c>
      <c r="E19">
        <f t="shared" si="0"/>
        <v>0</v>
      </c>
      <c r="F19" t="s">
        <v>315</v>
      </c>
      <c r="G19" t="s">
        <v>1792</v>
      </c>
      <c r="H19" cm="1">
        <f t="array" ref="H19">SUMPRODUCT(('ALL 498 CONSOLIDATED NEW'!$N$2:$N$503=F$1)*(F19='ALL 498 CONSOLIDATED NEW'!$K$2:$M$503)*(ISNUMBER(MATCH('ALL 498 CONSOLIDATED NEW'!$G$2:$G$503,Table17131411[SCHOOL LIST],0))))</f>
        <v>0</v>
      </c>
      <c r="I19">
        <v>0</v>
      </c>
      <c r="J19">
        <f t="shared" si="1"/>
        <v>0</v>
      </c>
      <c r="K19" t="s">
        <v>315</v>
      </c>
      <c r="L19">
        <v>105101018</v>
      </c>
      <c r="M19" cm="1">
        <f t="array" ref="M19">SUMPRODUCT(('ALL 498 CONSOLIDATED NEW'!$N$2:$N$503=K$1)*(K19='ALL 498 CONSOLIDATED NEW'!$K$2:$M$503)*(ISNUMBER(MATCH('ALL 498 CONSOLIDATED NEW'!$G$2:$G$503,Table17131411[SCHOOL LIST],0))))</f>
        <v>0</v>
      </c>
      <c r="N19">
        <v>0</v>
      </c>
      <c r="O19">
        <f t="shared" si="2"/>
        <v>0</v>
      </c>
    </row>
    <row r="20" spans="1:37">
      <c r="A20" t="s">
        <v>199</v>
      </c>
      <c r="B20" t="s">
        <v>1793</v>
      </c>
      <c r="C20" cm="1">
        <f t="array" ref="C20">SUMPRODUCT(('ALL 498 CONSOLIDATED NEW'!$N$2:$N$503=A$1)*(A20='ALL 498 CONSOLIDATED NEW'!$K$2:$M$503)*(ISNUMBER(MATCH('ALL 498 CONSOLIDATED NEW'!$G$2:$G$503,Table17131411[SCHOOL LIST],0))))</f>
        <v>3</v>
      </c>
      <c r="D20">
        <v>3</v>
      </c>
      <c r="E20">
        <f t="shared" si="0"/>
        <v>0</v>
      </c>
      <c r="F20" t="s">
        <v>199</v>
      </c>
      <c r="G20" t="s">
        <v>1794</v>
      </c>
      <c r="H20" cm="1">
        <f t="array" ref="H20">SUMPRODUCT(('ALL 498 CONSOLIDATED NEW'!$N$2:$N$503=F$1)*(F20='ALL 498 CONSOLIDATED NEW'!$K$2:$M$503)*(ISNUMBER(MATCH('ALL 498 CONSOLIDATED NEW'!$G$2:$G$503,Table17131411[SCHOOL LIST],0))))</f>
        <v>1</v>
      </c>
      <c r="I20">
        <v>1</v>
      </c>
      <c r="J20">
        <f t="shared" si="1"/>
        <v>0</v>
      </c>
      <c r="K20" t="s">
        <v>199</v>
      </c>
      <c r="L20">
        <v>105101019</v>
      </c>
      <c r="M20" cm="1">
        <f t="array" ref="M20">SUMPRODUCT(('ALL 498 CONSOLIDATED NEW'!$N$2:$N$503=K$1)*(K20='ALL 498 CONSOLIDATED NEW'!$K$2:$M$503)*(ISNUMBER(MATCH('ALL 498 CONSOLIDATED NEW'!$G$2:$G$503,Table17131411[SCHOOL LIST],0))))</f>
        <v>1</v>
      </c>
      <c r="N20">
        <v>1</v>
      </c>
      <c r="O20">
        <f t="shared" si="2"/>
        <v>0</v>
      </c>
    </row>
    <row r="21" spans="1:37">
      <c r="A21" t="s">
        <v>635</v>
      </c>
      <c r="B21" t="s">
        <v>1795</v>
      </c>
      <c r="C21" cm="1">
        <f t="array" ref="C21">SUMPRODUCT(('ALL 498 CONSOLIDATED NEW'!$N$2:$N$503=A$1)*(A21='ALL 498 CONSOLIDATED NEW'!$K$2:$M$503)*(ISNUMBER(MATCH('ALL 498 CONSOLIDATED NEW'!$G$2:$G$503,Table17131411[SCHOOL LIST],0))))</f>
        <v>0</v>
      </c>
      <c r="D21">
        <v>0</v>
      </c>
      <c r="E21">
        <f t="shared" si="0"/>
        <v>0</v>
      </c>
      <c r="F21" t="s">
        <v>635</v>
      </c>
      <c r="G21" t="s">
        <v>1796</v>
      </c>
      <c r="H21" cm="1">
        <f t="array" ref="H21">SUMPRODUCT(('ALL 498 CONSOLIDATED NEW'!$N$2:$N$503=F$1)*(F21='ALL 498 CONSOLIDATED NEW'!$K$2:$M$503)*(ISNUMBER(MATCH('ALL 498 CONSOLIDATED NEW'!$G$2:$G$503,Table17131411[SCHOOL LIST],0))))</f>
        <v>0</v>
      </c>
      <c r="I21">
        <v>0</v>
      </c>
      <c r="J21">
        <f t="shared" si="1"/>
        <v>0</v>
      </c>
      <c r="K21" t="s">
        <v>635</v>
      </c>
      <c r="L21">
        <v>105101020</v>
      </c>
      <c r="M21" cm="1">
        <f t="array" ref="M21">SUMPRODUCT(('ALL 498 CONSOLIDATED NEW'!$N$2:$N$503=K$1)*(K21='ALL 498 CONSOLIDATED NEW'!$K$2:$M$503)*(ISNUMBER(MATCH('ALL 498 CONSOLIDATED NEW'!$G$2:$G$503,Table17131411[SCHOOL LIST],0))))</f>
        <v>0</v>
      </c>
      <c r="N21">
        <v>0</v>
      </c>
      <c r="O21">
        <f t="shared" si="2"/>
        <v>0</v>
      </c>
    </row>
    <row r="22" spans="1:37" s="20" customFormat="1" ht="30.75">
      <c r="B22" s="20" t="str">
        <f>A1</f>
        <v>Palm Pen Holder</v>
      </c>
      <c r="C22" s="20">
        <f>SUM(C2:C21)</f>
        <v>48</v>
      </c>
      <c r="D22">
        <f>SUM(D2:D21)</f>
        <v>48</v>
      </c>
      <c r="E22">
        <f t="shared" si="0"/>
        <v>0</v>
      </c>
      <c r="G22" s="20" t="str">
        <f>F1</f>
        <v>TOOTH  BRUSH ADAPTER</v>
      </c>
      <c r="H22" s="20">
        <f>SUM(H2:H21)</f>
        <v>42</v>
      </c>
      <c r="I22" s="20">
        <f>SUM(I2:I21)</f>
        <v>42</v>
      </c>
      <c r="J22">
        <f t="shared" si="1"/>
        <v>0</v>
      </c>
      <c r="L22" s="20" t="str">
        <f>K1</f>
        <v>Utensil Holder</v>
      </c>
      <c r="M22" s="20">
        <f>SUM(M2:M21)</f>
        <v>54</v>
      </c>
      <c r="N22" s="20">
        <f>SUM(N2:N21)</f>
        <v>54</v>
      </c>
      <c r="O22">
        <f t="shared" si="2"/>
        <v>0</v>
      </c>
      <c r="Q22" s="20" t="str">
        <f>P1</f>
        <v>Reading Bar - Curved</v>
      </c>
      <c r="R22" s="20">
        <f>SUM(R2:R21)</f>
        <v>8</v>
      </c>
      <c r="S22" s="20">
        <f>SUM(S2:S3)</f>
        <v>8</v>
      </c>
      <c r="T22">
        <f t="shared" ref="T22" si="3">R22-S22</f>
        <v>0</v>
      </c>
      <c r="V22" s="20" t="str">
        <f>U1</f>
        <v>Assistive Pencil Grip</v>
      </c>
      <c r="W22" s="20">
        <f>SUM(W2:W21)</f>
        <v>4</v>
      </c>
      <c r="X22" s="20">
        <f>SUM(X2:X3)</f>
        <v>4</v>
      </c>
      <c r="Y22" s="20">
        <f t="shared" ref="Y22" si="4">W22-X22</f>
        <v>0</v>
      </c>
      <c r="AA22" s="20" t="str">
        <f>Z1</f>
        <v>Button Aid</v>
      </c>
      <c r="AB22" s="20">
        <f>SUM(AB2:AB21)</f>
        <v>0</v>
      </c>
      <c r="AC22" s="20">
        <f>SUM(AC2:AC3)</f>
        <v>0</v>
      </c>
      <c r="AD22" s="20">
        <f t="shared" ref="AD22" si="5">AB22-AC22</f>
        <v>0</v>
      </c>
      <c r="AF22" s="20" t="str">
        <f>AE1</f>
        <v>LOW PROFILE SWITCH</v>
      </c>
      <c r="AG22" s="20">
        <f>SUM(AG2:AG21)</f>
        <v>0</v>
      </c>
      <c r="AH22" s="20">
        <f>SUM(AH2:AH3)</f>
        <v>0</v>
      </c>
      <c r="AI22" s="20">
        <f t="shared" ref="AI22" si="6">AG22-AH22</f>
        <v>0</v>
      </c>
      <c r="AJ22" s="20">
        <f>SUM(AG22,C22,H22,M22,R22,W22,AB22)</f>
        <v>156</v>
      </c>
      <c r="AK22" s="20" t="s">
        <v>1774</v>
      </c>
    </row>
    <row r="23" spans="1:37">
      <c r="AJ23">
        <f>SUM(C22,H22,M22,R22,W22,AB22)</f>
        <v>156</v>
      </c>
      <c r="AK23" t="s">
        <v>1797</v>
      </c>
    </row>
    <row r="24" spans="1:37">
      <c r="AJ24" s="113">
        <f>SUM(E22,J22,O22,T22,Y22,AD22)</f>
        <v>0</v>
      </c>
      <c r="AK24" s="113" t="s">
        <v>1798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AC38-5F70-4735-B448-DA2C5389EBC4}">
  <dimension ref="A1:AO24"/>
  <sheetViews>
    <sheetView workbookViewId="0">
      <pane ySplit="1" topLeftCell="AF2" activePane="bottomLeft" state="frozen"/>
      <selection pane="bottomLeft" activeCell="X3" sqref="X3"/>
    </sheetView>
  </sheetViews>
  <sheetFormatPr defaultRowHeight="15"/>
  <cols>
    <col min="2" max="2" width="10" customWidth="1"/>
    <col min="3" max="5" width="4.42578125" customWidth="1"/>
    <col min="7" max="7" width="10.140625" customWidth="1"/>
    <col min="8" max="10" width="5.28515625" customWidth="1"/>
    <col min="12" max="12" width="10.85546875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 ht="45.75">
      <c r="A1" s="20" t="s">
        <v>111</v>
      </c>
      <c r="C1" s="20" t="s">
        <v>1747</v>
      </c>
      <c r="D1" s="20" t="s">
        <v>1748</v>
      </c>
      <c r="E1" s="20" t="s">
        <v>1749</v>
      </c>
      <c r="F1" s="20" t="s">
        <v>162</v>
      </c>
      <c r="H1" s="20" t="s">
        <v>1747</v>
      </c>
      <c r="I1" s="20" t="s">
        <v>1748</v>
      </c>
      <c r="J1" s="20" t="s">
        <v>1749</v>
      </c>
      <c r="K1" s="20" t="s">
        <v>117</v>
      </c>
      <c r="M1" s="20" t="s">
        <v>1747</v>
      </c>
      <c r="N1" s="20" t="s">
        <v>1748</v>
      </c>
      <c r="O1" s="20" t="s">
        <v>1749</v>
      </c>
      <c r="P1" s="20" t="s">
        <v>188</v>
      </c>
      <c r="R1" s="20" t="s">
        <v>1747</v>
      </c>
      <c r="S1" s="20" t="s">
        <v>1748</v>
      </c>
      <c r="T1" s="20" t="s">
        <v>1749</v>
      </c>
      <c r="U1" s="20" t="s">
        <v>16</v>
      </c>
      <c r="W1" s="20" t="s">
        <v>1747</v>
      </c>
      <c r="X1" s="20" t="s">
        <v>1748</v>
      </c>
      <c r="Y1" s="20" t="s">
        <v>1749</v>
      </c>
      <c r="Z1" s="20" t="s">
        <v>122</v>
      </c>
      <c r="AB1" s="20" t="s">
        <v>1747</v>
      </c>
      <c r="AC1" s="20" t="s">
        <v>1748</v>
      </c>
      <c r="AD1" s="20" t="s">
        <v>1749</v>
      </c>
      <c r="AE1" s="20" t="s">
        <v>12</v>
      </c>
      <c r="AG1" s="20" t="s">
        <v>1747</v>
      </c>
      <c r="AH1" s="20" t="s">
        <v>1748</v>
      </c>
      <c r="AI1" s="20" t="s">
        <v>1749</v>
      </c>
      <c r="AL1" t="s">
        <v>1750</v>
      </c>
    </row>
    <row r="2" spans="1:41">
      <c r="A2" t="s">
        <v>116</v>
      </c>
      <c r="B2" t="s">
        <v>1751</v>
      </c>
      <c r="C2" cm="1">
        <f t="array" ref="C2">SUMPRODUCT(('ALL 498 CONSOLIDATED NEW'!$N$2:$N$503=A$1)*(A2='ALL 498 CONSOLIDATED NEW'!$K$2:$M$503)*(ISNUMBER(MATCH('ALL 498 CONSOLIDATED NEW'!$G$2:$G$503,Table17131411212431[SCHOOL LIST],0))))</f>
        <v>0</v>
      </c>
      <c r="D2">
        <v>0</v>
      </c>
      <c r="E2">
        <f>C2-D2</f>
        <v>0</v>
      </c>
      <c r="F2" t="s">
        <v>116</v>
      </c>
      <c r="G2" t="s">
        <v>1752</v>
      </c>
      <c r="H2" cm="1">
        <f t="array" ref="H2">SUMPRODUCT(('ALL 498 CONSOLIDATED NEW'!$N$2:$N$503=F$1)*(F2='ALL 498 CONSOLIDATED NEW'!$K$2:$M$503)*(ISNUMBER(MATCH('ALL 498 CONSOLIDATED NEW'!$G$2:$G$503,Table17131411212431[SCHOOL LIST],0))))</f>
        <v>0</v>
      </c>
      <c r="I2">
        <v>0</v>
      </c>
      <c r="J2">
        <f>H2-I2</f>
        <v>0</v>
      </c>
      <c r="K2" t="s">
        <v>116</v>
      </c>
      <c r="L2">
        <v>105101001</v>
      </c>
      <c r="M2" cm="1">
        <f t="array" ref="M2">SUMPRODUCT(('ALL 498 CONSOLIDATED NEW'!$N$2:$N$503=K$1)*(K2='ALL 498 CONSOLIDATED NEW'!$K$2:$M$503)*(ISNUMBER(MATCH('ALL 498 CONSOLIDATED NEW'!$G$2:$G$503,Table17131411212431[SCHOOL LIST],0))))</f>
        <v>1</v>
      </c>
      <c r="N2">
        <v>1</v>
      </c>
      <c r="O2">
        <f>M2-N2</f>
        <v>0</v>
      </c>
      <c r="P2" t="s">
        <v>186</v>
      </c>
      <c r="Q2">
        <v>302202001</v>
      </c>
      <c r="R2" cm="1">
        <f t="array" ref="R2">SUMPRODUCT(('ALL 498 CONSOLIDATED NEW'!$N$2:$N$503=P$1)*(P2='ALL 498 CONSOLIDATED NEW'!$K$2:$M$503)*(ISNUMBER(MATCH('ALL 498 CONSOLIDATED NEW'!$G$2:$G$503,Table17131411212431[SCHOOL LIST],0))))</f>
        <v>0</v>
      </c>
      <c r="S2">
        <v>0</v>
      </c>
      <c r="T2">
        <f>R2-S2</f>
        <v>0</v>
      </c>
      <c r="U2" t="s">
        <v>1313</v>
      </c>
      <c r="V2">
        <v>301201999</v>
      </c>
      <c r="W2" cm="1">
        <f t="array" ref="W2">SUMPRODUCT(('ALL 498 CONSOLIDATED NEW'!$N$2:$N$503=U$1)*(U2='ALL 498 CONSOLIDATED NEW'!$K$2:$M$503)*(ISNUMBER(MATCH('ALL 498 CONSOLIDATED NEW'!$G$2:$G$503,Table17131411212431[SCHOOL LIST],0))))</f>
        <v>2</v>
      </c>
      <c r="X2">
        <v>2</v>
      </c>
      <c r="Y2">
        <f>W2-X2</f>
        <v>0</v>
      </c>
      <c r="Z2" t="s">
        <v>1321</v>
      </c>
      <c r="AA2">
        <v>104104009</v>
      </c>
      <c r="AB2" cm="1">
        <f t="array" ref="AB2">SUMPRODUCT(('ALL 498 CONSOLIDATED NEW'!$N$2:$N$503=Z$1)*(Z2='ALL 498 CONSOLIDATED NEW'!$K$2:$M$503)*(ISNUMBER(MATCH('ALL 498 CONSOLIDATED NEW'!$G$2:$G$503,Table17131411212431[SCHOOL LIST],0))))</f>
        <v>0</v>
      </c>
      <c r="AC2">
        <v>0</v>
      </c>
      <c r="AD2">
        <f>AB2-AC2</f>
        <v>0</v>
      </c>
      <c r="AE2" t="s">
        <v>1365</v>
      </c>
      <c r="AF2">
        <v>204301999</v>
      </c>
      <c r="AG2" cm="1">
        <f t="array" ref="AG2">SUMPRODUCT(('ALL 498 CONSOLIDATED NEW'!$N$2:$N$503=AE$1)*(AE2='ALL 498 CONSOLIDATED NEW'!$K$2:$M$503)*(ISNUMBER(MATCH('ALL 498 CONSOLIDATED NEW'!$G$2:$G$503,Table17131411212431[SCHOOL LIST],0))))</f>
        <v>3</v>
      </c>
      <c r="AH2">
        <v>0</v>
      </c>
      <c r="AI2">
        <f>AG2-AH2</f>
        <v>3</v>
      </c>
      <c r="AL2" s="56" t="s">
        <v>89</v>
      </c>
    </row>
    <row r="3" spans="1:41">
      <c r="A3" t="s">
        <v>1753</v>
      </c>
      <c r="B3" t="s">
        <v>1754</v>
      </c>
      <c r="C3" cm="1">
        <f t="array" ref="C3">SUMPRODUCT(('ALL 498 CONSOLIDATED NEW'!$N$2:$N$503=A$1)*(A3='ALL 498 CONSOLIDATED NEW'!$K$2:$M$503)*(ISNUMBER(MATCH('ALL 498 CONSOLIDATED NEW'!$G$2:$G$503,Table17131411212431[SCHOOL LIST],0))))</f>
        <v>0</v>
      </c>
      <c r="D3">
        <v>0</v>
      </c>
      <c r="E3">
        <f t="shared" ref="E3:E22" si="0">C3-D3</f>
        <v>0</v>
      </c>
      <c r="F3" t="s">
        <v>1753</v>
      </c>
      <c r="G3" t="s">
        <v>1755</v>
      </c>
      <c r="H3" cm="1">
        <f t="array" ref="H3">SUMPRODUCT(('ALL 498 CONSOLIDATED NEW'!$N$2:$N$503=F$1)*(F3='ALL 498 CONSOLIDATED NEW'!$K$2:$M$503)*(ISNUMBER(MATCH('ALL 498 CONSOLIDATED NEW'!$G$2:$G$503,Table17131411212431[SCHOOL LIST],0))))</f>
        <v>0</v>
      </c>
      <c r="I3">
        <v>0</v>
      </c>
      <c r="J3">
        <f t="shared" ref="J3:J22" si="1">H3-I3</f>
        <v>0</v>
      </c>
      <c r="K3" t="s">
        <v>1753</v>
      </c>
      <c r="L3">
        <v>105101002</v>
      </c>
      <c r="M3" cm="1">
        <f t="array" ref="M3">SUMPRODUCT(('ALL 498 CONSOLIDATED NEW'!$N$2:$N$503=K$1)*(K3='ALL 498 CONSOLIDATED NEW'!$K$2:$M$503)*(ISNUMBER(MATCH('ALL 498 CONSOLIDATED NEW'!$G$2:$G$503,Table17131411212431[SCHOOL LIST],0))))</f>
        <v>0</v>
      </c>
      <c r="N3">
        <v>0</v>
      </c>
      <c r="O3">
        <f t="shared" ref="O3:O22" si="2">M3-N3</f>
        <v>0</v>
      </c>
      <c r="P3" t="s">
        <v>187</v>
      </c>
      <c r="Q3" t="s">
        <v>1756</v>
      </c>
      <c r="R3" cm="1">
        <f t="array" ref="R3">SUMPRODUCT(('ALL 498 CONSOLIDATED NEW'!$N$2:$N$503=P$1)*(P3='ALL 498 CONSOLIDATED NEW'!$K$2:$M$503)*(ISNUMBER(MATCH('ALL 498 CONSOLIDATED NEW'!$G$2:$G$503,Table17131411212431[SCHOOL LIST],0))))</f>
        <v>0</v>
      </c>
      <c r="S3">
        <v>0</v>
      </c>
      <c r="T3">
        <f>R3-S3</f>
        <v>0</v>
      </c>
      <c r="AL3" s="56"/>
      <c r="AM3" t="s">
        <v>1291</v>
      </c>
      <c r="AN3" t="s">
        <v>1304</v>
      </c>
      <c r="AO3" t="s">
        <v>1293</v>
      </c>
    </row>
    <row r="4" spans="1:41">
      <c r="A4" t="s">
        <v>109</v>
      </c>
      <c r="B4" t="s">
        <v>1757</v>
      </c>
      <c r="C4" cm="1">
        <f t="array" ref="C4">SUMPRODUCT(('ALL 498 CONSOLIDATED NEW'!$N$2:$N$503=A$1)*(A4='ALL 498 CONSOLIDATED NEW'!$K$2:$M$503)*(ISNUMBER(MATCH('ALL 498 CONSOLIDATED NEW'!$G$2:$G$503,Table17131411212431[SCHOOL LIST],0))))</f>
        <v>0</v>
      </c>
      <c r="D4">
        <v>0</v>
      </c>
      <c r="E4">
        <f t="shared" si="0"/>
        <v>0</v>
      </c>
      <c r="F4" t="s">
        <v>109</v>
      </c>
      <c r="G4" t="s">
        <v>1758</v>
      </c>
      <c r="H4" cm="1">
        <f t="array" ref="H4">SUMPRODUCT(('ALL 498 CONSOLIDATED NEW'!$N$2:$N$503=F$1)*(F4='ALL 498 CONSOLIDATED NEW'!$K$2:$M$503)*(ISNUMBER(MATCH('ALL 498 CONSOLIDATED NEW'!$G$2:$G$503,Table17131411212431[SCHOOL LIST],0))))</f>
        <v>0</v>
      </c>
      <c r="I4">
        <v>0</v>
      </c>
      <c r="J4">
        <f t="shared" si="1"/>
        <v>0</v>
      </c>
      <c r="K4" t="s">
        <v>109</v>
      </c>
      <c r="L4">
        <v>105101003</v>
      </c>
      <c r="M4" cm="1">
        <f t="array" ref="M4">SUMPRODUCT(('ALL 498 CONSOLIDATED NEW'!$N$2:$N$503=K$1)*(K4='ALL 498 CONSOLIDATED NEW'!$K$2:$M$503)*(ISNUMBER(MATCH('ALL 498 CONSOLIDATED NEW'!$G$2:$G$503,Table17131411212431[SCHOOL LIST],0))))</f>
        <v>1</v>
      </c>
      <c r="N4">
        <v>1</v>
      </c>
      <c r="O4">
        <f t="shared" si="2"/>
        <v>0</v>
      </c>
      <c r="AL4" s="56"/>
      <c r="AM4">
        <v>1</v>
      </c>
      <c r="AN4" t="s">
        <v>111</v>
      </c>
      <c r="AO4">
        <f>C22/3</f>
        <v>2</v>
      </c>
    </row>
    <row r="5" spans="1:41">
      <c r="A5" t="s">
        <v>1759</v>
      </c>
      <c r="B5" t="s">
        <v>1760</v>
      </c>
      <c r="C5" cm="1">
        <f t="array" ref="C5">SUMPRODUCT(('ALL 498 CONSOLIDATED NEW'!$N$2:$N$503=A$1)*(A5='ALL 498 CONSOLIDATED NEW'!$K$2:$M$503)*(ISNUMBER(MATCH('ALL 498 CONSOLIDATED NEW'!$G$2:$G$503,Table17131411212431[SCHOOL LIST],0))))</f>
        <v>0</v>
      </c>
      <c r="D5">
        <v>0</v>
      </c>
      <c r="E5">
        <f t="shared" si="0"/>
        <v>0</v>
      </c>
      <c r="F5" t="s">
        <v>1759</v>
      </c>
      <c r="G5" t="s">
        <v>1761</v>
      </c>
      <c r="H5" cm="1">
        <f t="array" ref="H5">SUMPRODUCT(('ALL 498 CONSOLIDATED NEW'!$N$2:$N$503=F$1)*(F5='ALL 498 CONSOLIDATED NEW'!$K$2:$M$503)*(ISNUMBER(MATCH('ALL 498 CONSOLIDATED NEW'!$G$2:$G$503,Table17131411212431[SCHOOL LIST],0))))</f>
        <v>0</v>
      </c>
      <c r="I5">
        <v>0</v>
      </c>
      <c r="J5">
        <f t="shared" si="1"/>
        <v>0</v>
      </c>
      <c r="K5" t="s">
        <v>1759</v>
      </c>
      <c r="L5">
        <v>105101004</v>
      </c>
      <c r="M5" cm="1">
        <f t="array" ref="M5">SUMPRODUCT(('ALL 498 CONSOLIDATED NEW'!$N$2:$N$503=K$1)*(K5='ALL 498 CONSOLIDATED NEW'!$K$2:$M$503)*(ISNUMBER(MATCH('ALL 498 CONSOLIDATED NEW'!$G$2:$G$503,Table17131411212431[SCHOOL LIST],0))))</f>
        <v>0</v>
      </c>
      <c r="N5">
        <v>0</v>
      </c>
      <c r="O5">
        <f t="shared" si="2"/>
        <v>0</v>
      </c>
      <c r="AL5" s="87"/>
      <c r="AM5">
        <v>2</v>
      </c>
      <c r="AN5" t="s">
        <v>162</v>
      </c>
      <c r="AO5">
        <f>H22/3</f>
        <v>1</v>
      </c>
    </row>
    <row r="6" spans="1:41">
      <c r="A6" t="s">
        <v>130</v>
      </c>
      <c r="B6" t="s">
        <v>1762</v>
      </c>
      <c r="C6" cm="1">
        <f t="array" ref="C6">SUMPRODUCT(('ALL 498 CONSOLIDATED NEW'!$N$2:$N$503=A$1)*(A6='ALL 498 CONSOLIDATED NEW'!$K$2:$M$503)*(ISNUMBER(MATCH('ALL 498 CONSOLIDATED NEW'!$G$2:$G$503,Table17131411212431[SCHOOL LIST],0))))</f>
        <v>0</v>
      </c>
      <c r="D6">
        <v>0</v>
      </c>
      <c r="E6">
        <f t="shared" si="0"/>
        <v>0</v>
      </c>
      <c r="F6" t="s">
        <v>130</v>
      </c>
      <c r="G6" t="s">
        <v>1763</v>
      </c>
      <c r="H6" cm="1">
        <f t="array" ref="H6">SUMPRODUCT(('ALL 498 CONSOLIDATED NEW'!$N$2:$N$503=F$1)*(F6='ALL 498 CONSOLIDATED NEW'!$K$2:$M$503)*(ISNUMBER(MATCH('ALL 498 CONSOLIDATED NEW'!$G$2:$G$503,Table17131411212431[SCHOOL LIST],0))))</f>
        <v>0</v>
      </c>
      <c r="I6">
        <v>0</v>
      </c>
      <c r="J6">
        <f t="shared" si="1"/>
        <v>0</v>
      </c>
      <c r="K6" t="s">
        <v>130</v>
      </c>
      <c r="L6">
        <v>105101005</v>
      </c>
      <c r="M6" cm="1">
        <f t="array" ref="M6">SUMPRODUCT(('ALL 498 CONSOLIDATED NEW'!$N$2:$N$503=K$1)*(K6='ALL 498 CONSOLIDATED NEW'!$K$2:$M$503)*(ISNUMBER(MATCH('ALL 498 CONSOLIDATED NEW'!$G$2:$G$503,Table17131411212431[SCHOOL LIST],0))))</f>
        <v>1</v>
      </c>
      <c r="N6">
        <v>1</v>
      </c>
      <c r="O6">
        <f t="shared" si="2"/>
        <v>0</v>
      </c>
      <c r="AL6" s="56"/>
      <c r="AM6">
        <v>3</v>
      </c>
      <c r="AN6" t="s">
        <v>117</v>
      </c>
      <c r="AO6">
        <f>M22/3</f>
        <v>2</v>
      </c>
    </row>
    <row r="7" spans="1:41">
      <c r="A7" t="s">
        <v>443</v>
      </c>
      <c r="B7" t="s">
        <v>1764</v>
      </c>
      <c r="C7" cm="1">
        <f t="array" ref="C7">SUMPRODUCT(('ALL 498 CONSOLIDATED NEW'!$N$2:$N$503=A$1)*(A7='ALL 498 CONSOLIDATED NEW'!$K$2:$M$503)*(ISNUMBER(MATCH('ALL 498 CONSOLIDATED NEW'!$G$2:$G$503,Table17131411212431[SCHOOL LIST],0))))</f>
        <v>0</v>
      </c>
      <c r="D7">
        <v>0</v>
      </c>
      <c r="E7">
        <f t="shared" si="0"/>
        <v>0</v>
      </c>
      <c r="F7" t="s">
        <v>443</v>
      </c>
      <c r="G7" t="s">
        <v>1765</v>
      </c>
      <c r="H7" cm="1">
        <f t="array" ref="H7">SUMPRODUCT(('ALL 498 CONSOLIDATED NEW'!$N$2:$N$503=F$1)*(F7='ALL 498 CONSOLIDATED NEW'!$K$2:$M$503)*(ISNUMBER(MATCH('ALL 498 CONSOLIDATED NEW'!$G$2:$G$503,Table17131411212431[SCHOOL LIST],0))))</f>
        <v>0</v>
      </c>
      <c r="I7">
        <v>0</v>
      </c>
      <c r="J7">
        <f t="shared" si="1"/>
        <v>0</v>
      </c>
      <c r="K7" t="s">
        <v>443</v>
      </c>
      <c r="L7">
        <v>105101006</v>
      </c>
      <c r="M7" cm="1">
        <f t="array" ref="M7">SUMPRODUCT(('ALL 498 CONSOLIDATED NEW'!$N$2:$N$503=K$1)*(K7='ALL 498 CONSOLIDATED NEW'!$K$2:$M$503)*(ISNUMBER(MATCH('ALL 498 CONSOLIDATED NEW'!$G$2:$G$503,Table17131411212431[SCHOOL LIST],0))))</f>
        <v>0</v>
      </c>
      <c r="N7">
        <v>0</v>
      </c>
      <c r="O7">
        <f t="shared" si="2"/>
        <v>0</v>
      </c>
      <c r="AL7" s="87"/>
      <c r="AM7">
        <v>4</v>
      </c>
      <c r="AN7" t="s">
        <v>188</v>
      </c>
      <c r="AO7">
        <f>R22/2</f>
        <v>0</v>
      </c>
    </row>
    <row r="8" spans="1:41">
      <c r="A8" t="s">
        <v>110</v>
      </c>
      <c r="B8" t="s">
        <v>1766</v>
      </c>
      <c r="C8" cm="1">
        <f t="array" ref="C8">SUMPRODUCT(('ALL 498 CONSOLIDATED NEW'!$N$2:$N$503=A$1)*(A8='ALL 498 CONSOLIDATED NEW'!$K$2:$M$503)*(ISNUMBER(MATCH('ALL 498 CONSOLIDATED NEW'!$G$2:$G$503,Table17131411212431[SCHOOL LIST],0))))</f>
        <v>0</v>
      </c>
      <c r="D8">
        <v>0</v>
      </c>
      <c r="E8">
        <f t="shared" si="0"/>
        <v>0</v>
      </c>
      <c r="F8" t="s">
        <v>110</v>
      </c>
      <c r="G8" t="s">
        <v>1767</v>
      </c>
      <c r="H8" cm="1">
        <f t="array" ref="H8">SUMPRODUCT(('ALL 498 CONSOLIDATED NEW'!$N$2:$N$503=F$1)*(F8='ALL 498 CONSOLIDATED NEW'!$K$2:$M$503)*(ISNUMBER(MATCH('ALL 498 CONSOLIDATED NEW'!$G$2:$G$503,Table17131411212431[SCHOOL LIST],0))))</f>
        <v>0</v>
      </c>
      <c r="I8">
        <v>0</v>
      </c>
      <c r="J8">
        <f t="shared" si="1"/>
        <v>0</v>
      </c>
      <c r="K8" t="s">
        <v>110</v>
      </c>
      <c r="L8">
        <v>105101007</v>
      </c>
      <c r="M8" cm="1">
        <f t="array" ref="M8">SUMPRODUCT(('ALL 498 CONSOLIDATED NEW'!$N$2:$N$503=K$1)*(K8='ALL 498 CONSOLIDATED NEW'!$K$2:$M$503)*(ISNUMBER(MATCH('ALL 498 CONSOLIDATED NEW'!$G$2:$G$503,Table17131411212431[SCHOOL LIST],0))))</f>
        <v>2</v>
      </c>
      <c r="N8">
        <v>2</v>
      </c>
      <c r="O8">
        <f t="shared" si="2"/>
        <v>0</v>
      </c>
      <c r="AL8" s="56"/>
      <c r="AM8">
        <v>5</v>
      </c>
      <c r="AN8" t="s">
        <v>16</v>
      </c>
      <c r="AO8">
        <f>W22/2</f>
        <v>1</v>
      </c>
    </row>
    <row r="9" spans="1:41">
      <c r="A9" t="s">
        <v>108</v>
      </c>
      <c r="B9" t="s">
        <v>1768</v>
      </c>
      <c r="C9" cm="1">
        <f t="array" ref="C9">SUMPRODUCT(('ALL 498 CONSOLIDATED NEW'!$N$2:$N$503=A$1)*(A9='ALL 498 CONSOLIDATED NEW'!$K$2:$M$503)*(ISNUMBER(MATCH('ALL 498 CONSOLIDATED NEW'!$G$2:$G$503,Table17131411212431[SCHOOL LIST],0))))</f>
        <v>1</v>
      </c>
      <c r="D9">
        <v>1</v>
      </c>
      <c r="E9">
        <f t="shared" si="0"/>
        <v>0</v>
      </c>
      <c r="F9" t="s">
        <v>108</v>
      </c>
      <c r="G9" t="s">
        <v>1769</v>
      </c>
      <c r="H9" cm="1">
        <f t="array" ref="H9">SUMPRODUCT(('ALL 498 CONSOLIDATED NEW'!$N$2:$N$503=F$1)*(F9='ALL 498 CONSOLIDATED NEW'!$K$2:$M$503)*(ISNUMBER(MATCH('ALL 498 CONSOLIDATED NEW'!$G$2:$G$503,Table17131411212431[SCHOOL LIST],0))))</f>
        <v>1</v>
      </c>
      <c r="I9">
        <v>1</v>
      </c>
      <c r="J9">
        <f t="shared" si="1"/>
        <v>0</v>
      </c>
      <c r="K9" t="s">
        <v>108</v>
      </c>
      <c r="L9">
        <v>105101008</v>
      </c>
      <c r="M9" cm="1">
        <f t="array" ref="M9">SUMPRODUCT(('ALL 498 CONSOLIDATED NEW'!$N$2:$N$503=K$1)*(K9='ALL 498 CONSOLIDATED NEW'!$K$2:$M$503)*(ISNUMBER(MATCH('ALL 498 CONSOLIDATED NEW'!$G$2:$G$503,Table17131411212431[SCHOOL LIST],0))))</f>
        <v>1</v>
      </c>
      <c r="N9">
        <v>1</v>
      </c>
      <c r="O9">
        <f t="shared" si="2"/>
        <v>0</v>
      </c>
      <c r="AL9" s="56"/>
      <c r="AM9">
        <v>6</v>
      </c>
      <c r="AN9" t="s">
        <v>122</v>
      </c>
      <c r="AO9">
        <f>AB22</f>
        <v>0</v>
      </c>
    </row>
    <row r="10" spans="1:41">
      <c r="A10" t="s">
        <v>250</v>
      </c>
      <c r="B10" t="s">
        <v>1770</v>
      </c>
      <c r="C10" cm="1">
        <f t="array" ref="C10">SUMPRODUCT(('ALL 498 CONSOLIDATED NEW'!$N$2:$N$503=A$1)*(A10='ALL 498 CONSOLIDATED NEW'!$K$2:$M$503)*(ISNUMBER(MATCH('ALL 498 CONSOLIDATED NEW'!$G$2:$G$503,Table17131411212431[SCHOOL LIST],0))))</f>
        <v>0</v>
      </c>
      <c r="D10">
        <v>0</v>
      </c>
      <c r="E10">
        <f t="shared" si="0"/>
        <v>0</v>
      </c>
      <c r="F10" t="s">
        <v>250</v>
      </c>
      <c r="G10" t="s">
        <v>1771</v>
      </c>
      <c r="H10" cm="1">
        <f t="array" ref="H10">SUMPRODUCT(('ALL 498 CONSOLIDATED NEW'!$N$2:$N$503=F$1)*(F10='ALL 498 CONSOLIDATED NEW'!$K$2:$M$503)*(ISNUMBER(MATCH('ALL 498 CONSOLIDATED NEW'!$G$2:$G$503,Table17131411212431[SCHOOL LIST],0))))</f>
        <v>0</v>
      </c>
      <c r="I10">
        <v>0</v>
      </c>
      <c r="J10">
        <f t="shared" si="1"/>
        <v>0</v>
      </c>
      <c r="K10" t="s">
        <v>250</v>
      </c>
      <c r="L10">
        <v>105101009</v>
      </c>
      <c r="M10" cm="1">
        <f t="array" ref="M10">SUMPRODUCT(('ALL 498 CONSOLIDATED NEW'!$N$2:$N$503=K$1)*(K10='ALL 498 CONSOLIDATED NEW'!$K$2:$M$503)*(ISNUMBER(MATCH('ALL 498 CONSOLIDATED NEW'!$G$2:$G$503,Table17131411212431[SCHOOL LIST],0))))</f>
        <v>0</v>
      </c>
      <c r="N10">
        <v>0</v>
      </c>
      <c r="O10">
        <f t="shared" si="2"/>
        <v>0</v>
      </c>
      <c r="AL10" s="56"/>
      <c r="AM10">
        <v>7</v>
      </c>
      <c r="AN10" t="s">
        <v>12</v>
      </c>
      <c r="AO10">
        <f>AG22</f>
        <v>3</v>
      </c>
    </row>
    <row r="11" spans="1:41">
      <c r="A11" t="s">
        <v>135</v>
      </c>
      <c r="B11" t="s">
        <v>1772</v>
      </c>
      <c r="C11" cm="1">
        <f t="array" ref="C11">SUMPRODUCT(('ALL 498 CONSOLIDATED NEW'!$N$2:$N$503=A$1)*(A11='ALL 498 CONSOLIDATED NEW'!$K$2:$M$503)*(ISNUMBER(MATCH('ALL 498 CONSOLIDATED NEW'!$G$2:$G$503,Table17131411212431[SCHOOL LIST],0))))</f>
        <v>1</v>
      </c>
      <c r="D11">
        <v>1</v>
      </c>
      <c r="E11">
        <f t="shared" si="0"/>
        <v>0</v>
      </c>
      <c r="F11" t="s">
        <v>135</v>
      </c>
      <c r="G11" t="s">
        <v>1773</v>
      </c>
      <c r="H11" cm="1">
        <f t="array" ref="H11">SUMPRODUCT(('ALL 498 CONSOLIDATED NEW'!$N$2:$N$503=F$1)*(F11='ALL 498 CONSOLIDATED NEW'!$K$2:$M$503)*(ISNUMBER(MATCH('ALL 498 CONSOLIDATED NEW'!$G$2:$G$503,Table17131411212431[SCHOOL LIST],0))))</f>
        <v>1</v>
      </c>
      <c r="I11">
        <v>1</v>
      </c>
      <c r="J11">
        <f t="shared" si="1"/>
        <v>0</v>
      </c>
      <c r="K11" t="s">
        <v>135</v>
      </c>
      <c r="L11">
        <v>105101010</v>
      </c>
      <c r="M11" cm="1">
        <f t="array" ref="M11">SUMPRODUCT(('ALL 498 CONSOLIDATED NEW'!$N$2:$N$503=K$1)*(K11='ALL 498 CONSOLIDATED NEW'!$K$2:$M$503)*(ISNUMBER(MATCH('ALL 498 CONSOLIDATED NEW'!$G$2:$G$503,Table17131411212431[SCHOOL LIST],0))))</f>
        <v>0</v>
      </c>
      <c r="N11">
        <v>0</v>
      </c>
      <c r="O11">
        <f t="shared" si="2"/>
        <v>0</v>
      </c>
      <c r="AL11" s="56"/>
      <c r="AN11" s="99" t="s">
        <v>1774</v>
      </c>
      <c r="AO11">
        <f>SUM(AO4:AO10)</f>
        <v>9</v>
      </c>
    </row>
    <row r="12" spans="1:41">
      <c r="A12" t="s">
        <v>150</v>
      </c>
      <c r="B12" t="s">
        <v>1775</v>
      </c>
      <c r="C12" cm="1">
        <f t="array" ref="C12">SUMPRODUCT(('ALL 498 CONSOLIDATED NEW'!$N$2:$N$503=A$1)*(A12='ALL 498 CONSOLIDATED NEW'!$K$2:$M$503)*(ISNUMBER(MATCH('ALL 498 CONSOLIDATED NEW'!$G$2:$G$503,Table17131411212431[SCHOOL LIST],0))))</f>
        <v>0</v>
      </c>
      <c r="D12">
        <v>0</v>
      </c>
      <c r="E12">
        <f t="shared" si="0"/>
        <v>0</v>
      </c>
      <c r="F12" t="s">
        <v>150</v>
      </c>
      <c r="G12" t="s">
        <v>1776</v>
      </c>
      <c r="H12" cm="1">
        <f t="array" ref="H12">SUMPRODUCT(('ALL 498 CONSOLIDATED NEW'!$N$2:$N$503=F$1)*(F12='ALL 498 CONSOLIDATED NEW'!$K$2:$M$503)*(ISNUMBER(MATCH('ALL 498 CONSOLIDATED NEW'!$G$2:$G$503,Table17131411212431[SCHOOL LIST],0))))</f>
        <v>0</v>
      </c>
      <c r="I12">
        <v>0</v>
      </c>
      <c r="J12">
        <f t="shared" si="1"/>
        <v>0</v>
      </c>
      <c r="K12" t="s">
        <v>150</v>
      </c>
      <c r="L12">
        <v>105101011</v>
      </c>
      <c r="M12" cm="1">
        <f t="array" ref="M12">SUMPRODUCT(('ALL 498 CONSOLIDATED NEW'!$N$2:$N$503=K$1)*(K12='ALL 498 CONSOLIDATED NEW'!$K$2:$M$503)*(ISNUMBER(MATCH('ALL 498 CONSOLIDATED NEW'!$G$2:$G$503,Table17131411212431[SCHOOL LIST],0))))</f>
        <v>0</v>
      </c>
      <c r="N12">
        <v>0</v>
      </c>
      <c r="O12">
        <f t="shared" si="2"/>
        <v>0</v>
      </c>
      <c r="AL12" s="56"/>
      <c r="AN12" s="99" t="s">
        <v>1777</v>
      </c>
      <c r="AO12">
        <f>SUM(AO4:AO9)</f>
        <v>6</v>
      </c>
    </row>
    <row r="13" spans="1:41">
      <c r="A13" t="s">
        <v>846</v>
      </c>
      <c r="B13" t="s">
        <v>1778</v>
      </c>
      <c r="C13" cm="1">
        <f t="array" ref="C13">SUMPRODUCT(('ALL 498 CONSOLIDATED NEW'!$N$2:$N$503=A$1)*(A13='ALL 498 CONSOLIDATED NEW'!$K$2:$M$503)*(ISNUMBER(MATCH('ALL 498 CONSOLIDATED NEW'!$G$2:$G$503,Table17131411212431[SCHOOL LIST],0))))</f>
        <v>0</v>
      </c>
      <c r="D13">
        <v>0</v>
      </c>
      <c r="E13">
        <f t="shared" si="0"/>
        <v>0</v>
      </c>
      <c r="F13" t="s">
        <v>846</v>
      </c>
      <c r="G13" t="s">
        <v>1779</v>
      </c>
      <c r="H13" cm="1">
        <f t="array" ref="H13">SUMPRODUCT(('ALL 498 CONSOLIDATED NEW'!$N$2:$N$503=F$1)*(F13='ALL 498 CONSOLIDATED NEW'!$K$2:$M$503)*(ISNUMBER(MATCH('ALL 498 CONSOLIDATED NEW'!$G$2:$G$503,Table17131411212431[SCHOOL LIST],0))))</f>
        <v>0</v>
      </c>
      <c r="I13">
        <v>0</v>
      </c>
      <c r="J13">
        <f t="shared" si="1"/>
        <v>0</v>
      </c>
      <c r="K13" t="s">
        <v>846</v>
      </c>
      <c r="L13">
        <v>105101012</v>
      </c>
      <c r="M13" cm="1">
        <f t="array" ref="M13">SUMPRODUCT(('ALL 498 CONSOLIDATED NEW'!$N$2:$N$503=K$1)*(K13='ALL 498 CONSOLIDATED NEW'!$K$2:$M$503)*(ISNUMBER(MATCH('ALL 498 CONSOLIDATED NEW'!$G$2:$G$503,Table17131411212431[SCHOOL LIST],0))))</f>
        <v>0</v>
      </c>
      <c r="N13">
        <v>0</v>
      </c>
      <c r="O13">
        <f t="shared" si="2"/>
        <v>0</v>
      </c>
      <c r="AL13" s="98"/>
    </row>
    <row r="14" spans="1:41">
      <c r="A14" t="s">
        <v>251</v>
      </c>
      <c r="B14" t="s">
        <v>1780</v>
      </c>
      <c r="C14" cm="1">
        <f t="array" ref="C14">SUMPRODUCT(('ALL 498 CONSOLIDATED NEW'!$N$2:$N$503=A$1)*(A14='ALL 498 CONSOLIDATED NEW'!$K$2:$M$503)*(ISNUMBER(MATCH('ALL 498 CONSOLIDATED NEW'!$G$2:$G$503,Table17131411212431[SCHOOL LIST],0))))</f>
        <v>0</v>
      </c>
      <c r="D14">
        <v>0</v>
      </c>
      <c r="E14">
        <f t="shared" si="0"/>
        <v>0</v>
      </c>
      <c r="F14" t="s">
        <v>251</v>
      </c>
      <c r="G14" t="s">
        <v>1781</v>
      </c>
      <c r="H14" cm="1">
        <f t="array" ref="H14">SUMPRODUCT(('ALL 498 CONSOLIDATED NEW'!$N$2:$N$503=F$1)*(F14='ALL 498 CONSOLIDATED NEW'!$K$2:$M$503)*(ISNUMBER(MATCH('ALL 498 CONSOLIDATED NEW'!$G$2:$G$503,Table17131411212431[SCHOOL LIST],0))))</f>
        <v>0</v>
      </c>
      <c r="I14">
        <v>0</v>
      </c>
      <c r="J14">
        <f t="shared" si="1"/>
        <v>0</v>
      </c>
      <c r="K14" t="s">
        <v>251</v>
      </c>
      <c r="L14">
        <v>105101013</v>
      </c>
      <c r="M14" cm="1">
        <f t="array" ref="M14">SUMPRODUCT(('ALL 498 CONSOLIDATED NEW'!$N$2:$N$503=K$1)*(K14='ALL 498 CONSOLIDATED NEW'!$K$2:$M$503)*(ISNUMBER(MATCH('ALL 498 CONSOLIDATED NEW'!$G$2:$G$503,Table17131411212431[SCHOOL LIST],0))))</f>
        <v>0</v>
      </c>
      <c r="N14">
        <v>0</v>
      </c>
      <c r="O14">
        <f t="shared" si="2"/>
        <v>0</v>
      </c>
    </row>
    <row r="15" spans="1:41">
      <c r="A15" t="s">
        <v>136</v>
      </c>
      <c r="B15" t="s">
        <v>1782</v>
      </c>
      <c r="C15" cm="1">
        <f t="array" ref="C15">SUMPRODUCT(('ALL 498 CONSOLIDATED NEW'!$N$2:$N$503=A$1)*(A15='ALL 498 CONSOLIDATED NEW'!$K$2:$M$503)*(ISNUMBER(MATCH('ALL 498 CONSOLIDATED NEW'!$G$2:$G$503,Table17131411212431[SCHOOL LIST],0))))</f>
        <v>1</v>
      </c>
      <c r="D15">
        <v>1</v>
      </c>
      <c r="E15">
        <f t="shared" si="0"/>
        <v>0</v>
      </c>
      <c r="F15" t="s">
        <v>136</v>
      </c>
      <c r="G15" t="s">
        <v>1783</v>
      </c>
      <c r="H15" cm="1">
        <f t="array" ref="H15">SUMPRODUCT(('ALL 498 CONSOLIDATED NEW'!$N$2:$N$503=F$1)*(F15='ALL 498 CONSOLIDATED NEW'!$K$2:$M$503)*(ISNUMBER(MATCH('ALL 498 CONSOLIDATED NEW'!$G$2:$G$503,Table17131411212431[SCHOOL LIST],0))))</f>
        <v>1</v>
      </c>
      <c r="I15">
        <v>1</v>
      </c>
      <c r="J15">
        <f t="shared" si="1"/>
        <v>0</v>
      </c>
      <c r="K15" t="s">
        <v>136</v>
      </c>
      <c r="L15">
        <v>105101014</v>
      </c>
      <c r="M15" cm="1">
        <f t="array" ref="M15">SUMPRODUCT(('ALL 498 CONSOLIDATED NEW'!$N$2:$N$503=K$1)*(K15='ALL 498 CONSOLIDATED NEW'!$K$2:$M$503)*(ISNUMBER(MATCH('ALL 498 CONSOLIDATED NEW'!$G$2:$G$503,Table17131411212431[SCHOOL LIST],0))))</f>
        <v>0</v>
      </c>
      <c r="N15">
        <v>0</v>
      </c>
      <c r="O15">
        <f t="shared" si="2"/>
        <v>0</v>
      </c>
    </row>
    <row r="16" spans="1:41">
      <c r="A16" t="s">
        <v>198</v>
      </c>
      <c r="B16" t="s">
        <v>1784</v>
      </c>
      <c r="C16" cm="1">
        <f t="array" ref="C16">SUMPRODUCT(('ALL 498 CONSOLIDATED NEW'!$N$2:$N$503=A$1)*(A16='ALL 498 CONSOLIDATED NEW'!$K$2:$M$503)*(ISNUMBER(MATCH('ALL 498 CONSOLIDATED NEW'!$G$2:$G$503,Table17131411212431[SCHOOL LIST],0))))</f>
        <v>1</v>
      </c>
      <c r="D16">
        <v>1</v>
      </c>
      <c r="E16">
        <f t="shared" si="0"/>
        <v>0</v>
      </c>
      <c r="F16" t="s">
        <v>198</v>
      </c>
      <c r="G16" t="s">
        <v>1785</v>
      </c>
      <c r="H16" cm="1">
        <f t="array" ref="H16">SUMPRODUCT(('ALL 498 CONSOLIDATED NEW'!$N$2:$N$503=F$1)*(F16='ALL 498 CONSOLIDATED NEW'!$K$2:$M$503)*(ISNUMBER(MATCH('ALL 498 CONSOLIDATED NEW'!$G$2:$G$503,Table17131411212431[SCHOOL LIST],0))))</f>
        <v>0</v>
      </c>
      <c r="I16">
        <v>0</v>
      </c>
      <c r="J16">
        <f t="shared" si="1"/>
        <v>0</v>
      </c>
      <c r="K16" t="s">
        <v>198</v>
      </c>
      <c r="L16">
        <v>105101015</v>
      </c>
      <c r="M16" cm="1">
        <f t="array" ref="M16">SUMPRODUCT(('ALL 498 CONSOLIDATED NEW'!$N$2:$N$503=K$1)*(K16='ALL 498 CONSOLIDATED NEW'!$K$2:$M$503)*(ISNUMBER(MATCH('ALL 498 CONSOLIDATED NEW'!$G$2:$G$503,Table17131411212431[SCHOOL LIST],0))))</f>
        <v>0</v>
      </c>
      <c r="N16">
        <v>0</v>
      </c>
      <c r="O16">
        <f t="shared" si="2"/>
        <v>0</v>
      </c>
    </row>
    <row r="17" spans="1:37">
      <c r="A17" t="s">
        <v>200</v>
      </c>
      <c r="B17" t="s">
        <v>1786</v>
      </c>
      <c r="C17" cm="1">
        <f t="array" ref="C17">SUMPRODUCT(('ALL 498 CONSOLIDATED NEW'!$N$2:$N$503=A$1)*(A17='ALL 498 CONSOLIDATED NEW'!$K$2:$M$503)*(ISNUMBER(MATCH('ALL 498 CONSOLIDATED NEW'!$G$2:$G$503,Table17131411212431[SCHOOL LIST],0))))</f>
        <v>1</v>
      </c>
      <c r="D17">
        <v>1</v>
      </c>
      <c r="E17">
        <f t="shared" si="0"/>
        <v>0</v>
      </c>
      <c r="F17" t="s">
        <v>200</v>
      </c>
      <c r="G17" t="s">
        <v>1787</v>
      </c>
      <c r="H17" cm="1">
        <f t="array" ref="H17">SUMPRODUCT(('ALL 498 CONSOLIDATED NEW'!$N$2:$N$503=F$1)*(F17='ALL 498 CONSOLIDATED NEW'!$K$2:$M$503)*(ISNUMBER(MATCH('ALL 498 CONSOLIDATED NEW'!$G$2:$G$503,Table17131411212431[SCHOOL LIST],0))))</f>
        <v>0</v>
      </c>
      <c r="I17">
        <v>0</v>
      </c>
      <c r="J17">
        <f t="shared" si="1"/>
        <v>0</v>
      </c>
      <c r="K17" t="s">
        <v>200</v>
      </c>
      <c r="L17">
        <v>105101016</v>
      </c>
      <c r="M17" cm="1">
        <f t="array" ref="M17">SUMPRODUCT(('ALL 498 CONSOLIDATED NEW'!$N$2:$N$503=K$1)*(K17='ALL 498 CONSOLIDATED NEW'!$K$2:$M$503)*(ISNUMBER(MATCH('ALL 498 CONSOLIDATED NEW'!$G$2:$G$503,Table17131411212431[SCHOOL LIST],0))))</f>
        <v>0</v>
      </c>
      <c r="N17">
        <v>0</v>
      </c>
      <c r="O17">
        <f t="shared" si="2"/>
        <v>0</v>
      </c>
    </row>
    <row r="18" spans="1:37">
      <c r="A18" t="s">
        <v>1788</v>
      </c>
      <c r="B18" t="s">
        <v>1789</v>
      </c>
      <c r="C18" cm="1">
        <f t="array" ref="C18">SUMPRODUCT(('ALL 498 CONSOLIDATED NEW'!$N$2:$N$503=A$1)*(A18='ALL 498 CONSOLIDATED NEW'!$K$2:$M$503)*(ISNUMBER(MATCH('ALL 498 CONSOLIDATED NEW'!$G$2:$G$503,Table17131411212431[SCHOOL LIST],0))))</f>
        <v>0</v>
      </c>
      <c r="D18">
        <v>0</v>
      </c>
      <c r="E18">
        <f t="shared" si="0"/>
        <v>0</v>
      </c>
      <c r="F18" t="s">
        <v>1788</v>
      </c>
      <c r="G18" t="s">
        <v>1790</v>
      </c>
      <c r="H18" cm="1">
        <f t="array" ref="H18">SUMPRODUCT(('ALL 498 CONSOLIDATED NEW'!$N$2:$N$503=F$1)*(F18='ALL 498 CONSOLIDATED NEW'!$K$2:$M$503)*(ISNUMBER(MATCH('ALL 498 CONSOLIDATED NEW'!$G$2:$G$503,Table17131411212431[SCHOOL LIST],0))))</f>
        <v>0</v>
      </c>
      <c r="I18">
        <v>0</v>
      </c>
      <c r="J18">
        <f t="shared" si="1"/>
        <v>0</v>
      </c>
      <c r="K18" t="s">
        <v>1788</v>
      </c>
      <c r="L18">
        <v>105101017</v>
      </c>
      <c r="M18" cm="1">
        <f t="array" ref="M18">SUMPRODUCT(('ALL 498 CONSOLIDATED NEW'!$N$2:$N$503=K$1)*(K18='ALL 498 CONSOLIDATED NEW'!$K$2:$M$503)*(ISNUMBER(MATCH('ALL 498 CONSOLIDATED NEW'!$G$2:$G$503,Table17131411212431[SCHOOL LIST],0))))</f>
        <v>0</v>
      </c>
      <c r="N18">
        <v>0</v>
      </c>
      <c r="O18">
        <f t="shared" si="2"/>
        <v>0</v>
      </c>
    </row>
    <row r="19" spans="1:37">
      <c r="A19" t="s">
        <v>315</v>
      </c>
      <c r="B19" t="s">
        <v>1791</v>
      </c>
      <c r="C19" cm="1">
        <f t="array" ref="C19">SUMPRODUCT(('ALL 498 CONSOLIDATED NEW'!$N$2:$N$503=A$1)*(A19='ALL 498 CONSOLIDATED NEW'!$K$2:$M$503)*(ISNUMBER(MATCH('ALL 498 CONSOLIDATED NEW'!$G$2:$G$503,Table17131411212431[SCHOOL LIST],0))))</f>
        <v>0</v>
      </c>
      <c r="D19">
        <v>0</v>
      </c>
      <c r="E19">
        <f t="shared" si="0"/>
        <v>0</v>
      </c>
      <c r="F19" t="s">
        <v>315</v>
      </c>
      <c r="G19" t="s">
        <v>1792</v>
      </c>
      <c r="H19" cm="1">
        <f t="array" ref="H19">SUMPRODUCT(('ALL 498 CONSOLIDATED NEW'!$N$2:$N$503=F$1)*(F19='ALL 498 CONSOLIDATED NEW'!$K$2:$M$503)*(ISNUMBER(MATCH('ALL 498 CONSOLIDATED NEW'!$G$2:$G$503,Table17131411212431[SCHOOL LIST],0))))</f>
        <v>0</v>
      </c>
      <c r="I19">
        <v>0</v>
      </c>
      <c r="J19">
        <f t="shared" si="1"/>
        <v>0</v>
      </c>
      <c r="K19" t="s">
        <v>315</v>
      </c>
      <c r="L19">
        <v>105101018</v>
      </c>
      <c r="M19" cm="1">
        <f t="array" ref="M19">SUMPRODUCT(('ALL 498 CONSOLIDATED NEW'!$N$2:$N$503=K$1)*(K19='ALL 498 CONSOLIDATED NEW'!$K$2:$M$503)*(ISNUMBER(MATCH('ALL 498 CONSOLIDATED NEW'!$G$2:$G$503,Table17131411212431[SCHOOL LIST],0))))</f>
        <v>0</v>
      </c>
      <c r="N19">
        <v>0</v>
      </c>
      <c r="O19">
        <f t="shared" si="2"/>
        <v>0</v>
      </c>
    </row>
    <row r="20" spans="1:37">
      <c r="A20" t="s">
        <v>199</v>
      </c>
      <c r="B20" t="s">
        <v>1793</v>
      </c>
      <c r="C20" cm="1">
        <f t="array" ref="C20">SUMPRODUCT(('ALL 498 CONSOLIDATED NEW'!$N$2:$N$503=A$1)*(A20='ALL 498 CONSOLIDATED NEW'!$K$2:$M$503)*(ISNUMBER(MATCH('ALL 498 CONSOLIDATED NEW'!$G$2:$G$503,Table17131411212431[SCHOOL LIST],0))))</f>
        <v>1</v>
      </c>
      <c r="D20">
        <v>1</v>
      </c>
      <c r="E20">
        <f t="shared" si="0"/>
        <v>0</v>
      </c>
      <c r="F20" t="s">
        <v>199</v>
      </c>
      <c r="G20" t="s">
        <v>1794</v>
      </c>
      <c r="H20" cm="1">
        <f t="array" ref="H20">SUMPRODUCT(('ALL 498 CONSOLIDATED NEW'!$N$2:$N$503=F$1)*(F20='ALL 498 CONSOLIDATED NEW'!$K$2:$M$503)*(ISNUMBER(MATCH('ALL 498 CONSOLIDATED NEW'!$G$2:$G$503,Table17131411212431[SCHOOL LIST],0))))</f>
        <v>0</v>
      </c>
      <c r="I20">
        <v>0</v>
      </c>
      <c r="J20">
        <f t="shared" si="1"/>
        <v>0</v>
      </c>
      <c r="K20" t="s">
        <v>199</v>
      </c>
      <c r="L20">
        <v>105101019</v>
      </c>
      <c r="M20" cm="1">
        <f t="array" ref="M20">SUMPRODUCT(('ALL 498 CONSOLIDATED NEW'!$N$2:$N$503=K$1)*(K20='ALL 498 CONSOLIDATED NEW'!$K$2:$M$503)*(ISNUMBER(MATCH('ALL 498 CONSOLIDATED NEW'!$G$2:$G$503,Table17131411212431[SCHOOL LIST],0))))</f>
        <v>0</v>
      </c>
      <c r="N20">
        <v>0</v>
      </c>
      <c r="O20">
        <f t="shared" si="2"/>
        <v>0</v>
      </c>
    </row>
    <row r="21" spans="1:37">
      <c r="A21" t="s">
        <v>635</v>
      </c>
      <c r="B21" t="s">
        <v>1795</v>
      </c>
      <c r="C21" cm="1">
        <f t="array" ref="C21">SUMPRODUCT(('ALL 498 CONSOLIDATED NEW'!$N$2:$N$503=A$1)*(A21='ALL 498 CONSOLIDATED NEW'!$K$2:$M$503)*(ISNUMBER(MATCH('ALL 498 CONSOLIDATED NEW'!$G$2:$G$503,Table17131411212431[SCHOOL LIST],0))))</f>
        <v>0</v>
      </c>
      <c r="D21">
        <v>0</v>
      </c>
      <c r="E21">
        <f t="shared" si="0"/>
        <v>0</v>
      </c>
      <c r="F21" t="s">
        <v>635</v>
      </c>
      <c r="G21" t="s">
        <v>1796</v>
      </c>
      <c r="H21" cm="1">
        <f t="array" ref="H21">SUMPRODUCT(('ALL 498 CONSOLIDATED NEW'!$N$2:$N$503=F$1)*(F21='ALL 498 CONSOLIDATED NEW'!$K$2:$M$503)*(ISNUMBER(MATCH('ALL 498 CONSOLIDATED NEW'!$G$2:$G$503,Table17131411212431[SCHOOL LIST],0))))</f>
        <v>0</v>
      </c>
      <c r="I21">
        <v>0</v>
      </c>
      <c r="J21">
        <f t="shared" si="1"/>
        <v>0</v>
      </c>
      <c r="K21" t="s">
        <v>635</v>
      </c>
      <c r="L21">
        <v>105101020</v>
      </c>
      <c r="M21" cm="1">
        <f t="array" ref="M21">SUMPRODUCT(('ALL 498 CONSOLIDATED NEW'!$N$2:$N$503=K$1)*(K21='ALL 498 CONSOLIDATED NEW'!$K$2:$M$503)*(ISNUMBER(MATCH('ALL 498 CONSOLIDATED NEW'!$G$2:$G$503,Table17131411212431[SCHOOL LIST],0))))</f>
        <v>0</v>
      </c>
      <c r="N21">
        <v>0</v>
      </c>
      <c r="O21">
        <f t="shared" si="2"/>
        <v>0</v>
      </c>
    </row>
    <row r="22" spans="1:37" s="20" customFormat="1" ht="30.75">
      <c r="B22" s="20" t="str">
        <f>A1</f>
        <v>Palm Pen Holder</v>
      </c>
      <c r="C22" s="20">
        <f>SUM(C2:C21)</f>
        <v>6</v>
      </c>
      <c r="D22">
        <f>SUM(D2:D21)</f>
        <v>6</v>
      </c>
      <c r="E22">
        <f t="shared" si="0"/>
        <v>0</v>
      </c>
      <c r="G22" s="20" t="str">
        <f>F1</f>
        <v>TOOTH  BRUSH ADAPTER</v>
      </c>
      <c r="H22" s="20">
        <f>SUM(H2:H21)</f>
        <v>3</v>
      </c>
      <c r="I22" s="20">
        <f>SUM(I2:I21)</f>
        <v>3</v>
      </c>
      <c r="J22">
        <f t="shared" si="1"/>
        <v>0</v>
      </c>
      <c r="L22" s="20" t="str">
        <f>K1</f>
        <v>Utensil Holder</v>
      </c>
      <c r="M22" s="20">
        <f>SUM(M2:M21)</f>
        <v>6</v>
      </c>
      <c r="N22" s="20">
        <f>SUM(N2:N21)</f>
        <v>6</v>
      </c>
      <c r="O22">
        <f t="shared" si="2"/>
        <v>0</v>
      </c>
      <c r="Q22" s="20" t="str">
        <f>P1</f>
        <v>Reading Bar - Curved</v>
      </c>
      <c r="R22" s="20">
        <f>SUM(R2:R21)</f>
        <v>0</v>
      </c>
      <c r="S22" s="20">
        <f>SUM(S2:S3)</f>
        <v>0</v>
      </c>
      <c r="T22">
        <f t="shared" ref="T22" si="3">R22-S22</f>
        <v>0</v>
      </c>
      <c r="V22" s="20" t="str">
        <f>U1</f>
        <v>Assistive Pencil Grip</v>
      </c>
      <c r="W22" s="20">
        <f>SUM(W2:W21)</f>
        <v>2</v>
      </c>
      <c r="X22" s="20">
        <f>SUM(X2:X3)</f>
        <v>2</v>
      </c>
      <c r="Y22" s="20">
        <f t="shared" ref="Y22" si="4">W22-X22</f>
        <v>0</v>
      </c>
      <c r="AA22" s="20" t="str">
        <f>Z1</f>
        <v>Button Aid</v>
      </c>
      <c r="AB22" s="20">
        <f>SUM(AB2:AB21)</f>
        <v>0</v>
      </c>
      <c r="AC22" s="20">
        <f>SUM(AC2:AC3)</f>
        <v>0</v>
      </c>
      <c r="AD22" s="20">
        <f t="shared" ref="AD22" si="5">AB22-AC22</f>
        <v>0</v>
      </c>
      <c r="AF22" s="20" t="str">
        <f>AE1</f>
        <v>LOW PROFILE SWITCH</v>
      </c>
      <c r="AG22" s="20">
        <f>SUM(AG2:AG21)</f>
        <v>3</v>
      </c>
      <c r="AH22" s="20">
        <f>SUM(AH2:AH3)</f>
        <v>0</v>
      </c>
      <c r="AI22" s="20">
        <f t="shared" ref="AI22" si="6">AG22-AH22</f>
        <v>3</v>
      </c>
      <c r="AJ22" s="20">
        <f>SUM(AG22,C22,H22,M22,R22,W22,AB22)</f>
        <v>20</v>
      </c>
      <c r="AK22" s="20" t="s">
        <v>1774</v>
      </c>
    </row>
    <row r="23" spans="1:37">
      <c r="AJ23">
        <f>SUM(C22,H22,M22,R22,W22,AB22)</f>
        <v>17</v>
      </c>
      <c r="AK23" t="s">
        <v>1797</v>
      </c>
    </row>
    <row r="24" spans="1:37">
      <c r="AJ24" s="113">
        <f>SUM(E22,J22,O22,T22,Y22,AD22)</f>
        <v>0</v>
      </c>
      <c r="AK24" s="113" t="s">
        <v>1798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75F3-4507-4751-954B-F3C649B84D6E}">
  <dimension ref="A1:AO24"/>
  <sheetViews>
    <sheetView workbookViewId="0">
      <pane ySplit="1" topLeftCell="L2" activePane="bottomLeft" state="frozen"/>
      <selection pane="bottomLeft" activeCell="N16" sqref="N16"/>
    </sheetView>
  </sheetViews>
  <sheetFormatPr defaultRowHeight="15"/>
  <cols>
    <col min="2" max="2" width="10" customWidth="1"/>
    <col min="3" max="5" width="4.42578125" customWidth="1"/>
    <col min="7" max="7" width="10.140625" customWidth="1"/>
    <col min="8" max="10" width="5.28515625" customWidth="1"/>
    <col min="12" max="12" width="10.85546875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 ht="45.75">
      <c r="A1" s="20" t="s">
        <v>111</v>
      </c>
      <c r="C1" s="20" t="s">
        <v>1747</v>
      </c>
      <c r="D1" s="20" t="s">
        <v>1748</v>
      </c>
      <c r="E1" s="20" t="s">
        <v>1749</v>
      </c>
      <c r="F1" s="20" t="s">
        <v>162</v>
      </c>
      <c r="H1" s="20" t="s">
        <v>1747</v>
      </c>
      <c r="I1" s="20" t="s">
        <v>1748</v>
      </c>
      <c r="J1" s="20" t="s">
        <v>1749</v>
      </c>
      <c r="K1" s="20" t="s">
        <v>117</v>
      </c>
      <c r="M1" s="20" t="s">
        <v>1747</v>
      </c>
      <c r="N1" s="20" t="s">
        <v>1748</v>
      </c>
      <c r="O1" s="20" t="s">
        <v>1749</v>
      </c>
      <c r="P1" s="20" t="s">
        <v>188</v>
      </c>
      <c r="R1" s="20" t="s">
        <v>1747</v>
      </c>
      <c r="S1" s="20" t="s">
        <v>1748</v>
      </c>
      <c r="T1" s="20" t="s">
        <v>1749</v>
      </c>
      <c r="U1" s="20" t="s">
        <v>16</v>
      </c>
      <c r="W1" s="20" t="s">
        <v>1747</v>
      </c>
      <c r="X1" s="20" t="s">
        <v>1748</v>
      </c>
      <c r="Y1" s="20" t="s">
        <v>1749</v>
      </c>
      <c r="Z1" s="20" t="s">
        <v>122</v>
      </c>
      <c r="AB1" s="20" t="s">
        <v>1747</v>
      </c>
      <c r="AC1" s="20" t="s">
        <v>1748</v>
      </c>
      <c r="AD1" s="20" t="s">
        <v>1749</v>
      </c>
      <c r="AE1" s="20" t="s">
        <v>12</v>
      </c>
      <c r="AG1" s="20" t="s">
        <v>1747</v>
      </c>
      <c r="AH1" s="20" t="s">
        <v>1748</v>
      </c>
      <c r="AI1" s="20" t="s">
        <v>1749</v>
      </c>
      <c r="AL1" t="s">
        <v>1750</v>
      </c>
    </row>
    <row r="2" spans="1:41">
      <c r="A2" t="s">
        <v>116</v>
      </c>
      <c r="B2" t="s">
        <v>1751</v>
      </c>
      <c r="C2" cm="1">
        <f t="array" ref="C2">SUMPRODUCT(('ALL 498 CONSOLIDATED NEW'!$N$2:$N$503=A$1)*(A2='ALL 498 CONSOLIDATED NEW'!$K$2:$M$503)*(ISNUMBER(MATCH('ALL 498 CONSOLIDATED NEW'!$G$2:$G$503,Table17131411212435[SCHOOL LIST],0))))</f>
        <v>0</v>
      </c>
      <c r="D2">
        <v>0</v>
      </c>
      <c r="E2">
        <f>C2-D2</f>
        <v>0</v>
      </c>
      <c r="F2" t="s">
        <v>116</v>
      </c>
      <c r="G2" t="s">
        <v>1752</v>
      </c>
      <c r="H2" cm="1">
        <f t="array" ref="H2">SUMPRODUCT(('ALL 498 CONSOLIDATED NEW'!$N$2:$N$503=F$1)*(F2='ALL 498 CONSOLIDATED NEW'!$K$2:$M$503)*(ISNUMBER(MATCH('ALL 498 CONSOLIDATED NEW'!$G$2:$G$503,Table17131411212435[SCHOOL LIST],0))))</f>
        <v>0</v>
      </c>
      <c r="I2">
        <v>0</v>
      </c>
      <c r="J2">
        <f>H2-I2</f>
        <v>0</v>
      </c>
      <c r="K2" t="s">
        <v>116</v>
      </c>
      <c r="L2">
        <v>105101001</v>
      </c>
      <c r="M2" cm="1">
        <f t="array" ref="M2">SUMPRODUCT(('ALL 498 CONSOLIDATED NEW'!$N$2:$N$503=K$1)*(K2='ALL 498 CONSOLIDATED NEW'!$K$2:$M$503)*(ISNUMBER(MATCH('ALL 498 CONSOLIDATED NEW'!$G$2:$G$503,Table17131411212435[SCHOOL LIST],0))))</f>
        <v>0</v>
      </c>
      <c r="N2">
        <v>0</v>
      </c>
      <c r="O2">
        <f>M2-N2</f>
        <v>0</v>
      </c>
      <c r="P2" t="s">
        <v>186</v>
      </c>
      <c r="Q2">
        <v>302202001</v>
      </c>
      <c r="R2" cm="1">
        <f t="array" ref="R2">SUMPRODUCT(('ALL 498 CONSOLIDATED NEW'!$N$2:$N$503=P$1)*(P2='ALL 498 CONSOLIDATED NEW'!$K$2:$M$503)*(ISNUMBER(MATCH('ALL 498 CONSOLIDATED NEW'!$G$2:$G$503,Table17131411212435[SCHOOL LIST],0))))</f>
        <v>0</v>
      </c>
      <c r="S2">
        <v>0</v>
      </c>
      <c r="T2">
        <f>R2-S2</f>
        <v>0</v>
      </c>
      <c r="U2" t="s">
        <v>1313</v>
      </c>
      <c r="V2">
        <v>301201999</v>
      </c>
      <c r="W2" cm="1">
        <f t="array" ref="W2">SUMPRODUCT(('ALL 498 CONSOLIDATED NEW'!$N$2:$N$503=U$1)*(U2='ALL 498 CONSOLIDATED NEW'!$K$2:$M$503)*(ISNUMBER(MATCH('ALL 498 CONSOLIDATED NEW'!$G$2:$G$503,Table17131411212435[SCHOOL LIST],0))))</f>
        <v>0</v>
      </c>
      <c r="X2">
        <v>0</v>
      </c>
      <c r="Y2">
        <f>W2-X2</f>
        <v>0</v>
      </c>
      <c r="Z2" t="s">
        <v>1321</v>
      </c>
      <c r="AA2">
        <v>104104009</v>
      </c>
      <c r="AB2" cm="1">
        <f t="array" ref="AB2">SUMPRODUCT(('ALL 498 CONSOLIDATED NEW'!$N$2:$N$503=Z$1)*(Z2='ALL 498 CONSOLIDATED NEW'!$K$2:$M$503)*(ISNUMBER(MATCH('ALL 498 CONSOLIDATED NEW'!$G$2:$G$503,Table17131411212435[SCHOOL LIST],0))))</f>
        <v>0</v>
      </c>
      <c r="AC2">
        <v>0</v>
      </c>
      <c r="AD2">
        <f>AB2-AC2</f>
        <v>0</v>
      </c>
      <c r="AE2" t="s">
        <v>1365</v>
      </c>
      <c r="AF2">
        <v>204301999</v>
      </c>
      <c r="AG2" cm="1">
        <f t="array" ref="AG2">SUMPRODUCT(('ALL 498 CONSOLIDATED NEW'!$N$2:$N$503=AE$1)*(AE2='ALL 498 CONSOLIDATED NEW'!$K$2:$M$503)*(ISNUMBER(MATCH('ALL 498 CONSOLIDATED NEW'!$G$2:$G$503,Table17131411212435[SCHOOL LIST],0))))</f>
        <v>1</v>
      </c>
      <c r="AH2">
        <v>0</v>
      </c>
      <c r="AI2">
        <f>AG2-AH2</f>
        <v>1</v>
      </c>
      <c r="AL2" s="56" t="s">
        <v>948</v>
      </c>
    </row>
    <row r="3" spans="1:41">
      <c r="A3" t="s">
        <v>1753</v>
      </c>
      <c r="B3" t="s">
        <v>1754</v>
      </c>
      <c r="C3" cm="1">
        <f t="array" ref="C3">SUMPRODUCT(('ALL 498 CONSOLIDATED NEW'!$N$2:$N$503=A$1)*(A3='ALL 498 CONSOLIDATED NEW'!$K$2:$M$503)*(ISNUMBER(MATCH('ALL 498 CONSOLIDATED NEW'!$G$2:$G$503,Table17131411212435[SCHOOL LIST],0))))</f>
        <v>0</v>
      </c>
      <c r="D3">
        <v>0</v>
      </c>
      <c r="E3">
        <f t="shared" ref="E3:E22" si="0">C3-D3</f>
        <v>0</v>
      </c>
      <c r="F3" t="s">
        <v>1753</v>
      </c>
      <c r="G3" t="s">
        <v>1755</v>
      </c>
      <c r="H3" cm="1">
        <f t="array" ref="H3">SUMPRODUCT(('ALL 498 CONSOLIDATED NEW'!$N$2:$N$503=F$1)*(F3='ALL 498 CONSOLIDATED NEW'!$K$2:$M$503)*(ISNUMBER(MATCH('ALL 498 CONSOLIDATED NEW'!$G$2:$G$503,Table17131411212435[SCHOOL LIST],0))))</f>
        <v>0</v>
      </c>
      <c r="I3">
        <v>0</v>
      </c>
      <c r="J3">
        <f t="shared" ref="J3:J22" si="1">H3-I3</f>
        <v>0</v>
      </c>
      <c r="K3" t="s">
        <v>1753</v>
      </c>
      <c r="L3">
        <v>105101002</v>
      </c>
      <c r="M3" cm="1">
        <f t="array" ref="M3">SUMPRODUCT(('ALL 498 CONSOLIDATED NEW'!$N$2:$N$503=K$1)*(K3='ALL 498 CONSOLIDATED NEW'!$K$2:$M$503)*(ISNUMBER(MATCH('ALL 498 CONSOLIDATED NEW'!$G$2:$G$503,Table17131411212435[SCHOOL LIST],0))))</f>
        <v>0</v>
      </c>
      <c r="N3">
        <v>0</v>
      </c>
      <c r="O3">
        <f t="shared" ref="O3:O22" si="2">M3-N3</f>
        <v>0</v>
      </c>
      <c r="P3" t="s">
        <v>187</v>
      </c>
      <c r="Q3" t="s">
        <v>1756</v>
      </c>
      <c r="R3" cm="1">
        <f t="array" ref="R3">SUMPRODUCT(('ALL 498 CONSOLIDATED NEW'!$N$2:$N$503=P$1)*(P3='ALL 498 CONSOLIDATED NEW'!$K$2:$M$503)*(ISNUMBER(MATCH('ALL 498 CONSOLIDATED NEW'!$G$2:$G$503,Table17131411212435[SCHOOL LIST],0))))</f>
        <v>0</v>
      </c>
      <c r="S3">
        <v>0</v>
      </c>
      <c r="T3">
        <f>R3-S3</f>
        <v>0</v>
      </c>
      <c r="AL3" s="56" t="s">
        <v>69</v>
      </c>
      <c r="AM3" t="s">
        <v>1291</v>
      </c>
      <c r="AN3" t="s">
        <v>1304</v>
      </c>
      <c r="AO3" t="s">
        <v>1293</v>
      </c>
    </row>
    <row r="4" spans="1:41">
      <c r="A4" t="s">
        <v>109</v>
      </c>
      <c r="B4" t="s">
        <v>1757</v>
      </c>
      <c r="C4" cm="1">
        <f t="array" ref="C4">SUMPRODUCT(('ALL 498 CONSOLIDATED NEW'!$N$2:$N$503=A$1)*(A4='ALL 498 CONSOLIDATED NEW'!$K$2:$M$503)*(ISNUMBER(MATCH('ALL 498 CONSOLIDATED NEW'!$G$2:$G$503,Table17131411212435[SCHOOL LIST],0))))</f>
        <v>0</v>
      </c>
      <c r="D4">
        <v>0</v>
      </c>
      <c r="E4">
        <f t="shared" si="0"/>
        <v>0</v>
      </c>
      <c r="F4" t="s">
        <v>109</v>
      </c>
      <c r="G4" t="s">
        <v>1758</v>
      </c>
      <c r="H4" cm="1">
        <f t="array" ref="H4">SUMPRODUCT(('ALL 498 CONSOLIDATED NEW'!$N$2:$N$503=F$1)*(F4='ALL 498 CONSOLIDATED NEW'!$K$2:$M$503)*(ISNUMBER(MATCH('ALL 498 CONSOLIDATED NEW'!$G$2:$G$503,Table17131411212435[SCHOOL LIST],0))))</f>
        <v>0</v>
      </c>
      <c r="I4">
        <v>0</v>
      </c>
      <c r="J4">
        <f t="shared" si="1"/>
        <v>0</v>
      </c>
      <c r="K4" t="s">
        <v>109</v>
      </c>
      <c r="L4">
        <v>105101003</v>
      </c>
      <c r="M4" cm="1">
        <f t="array" ref="M4">SUMPRODUCT(('ALL 498 CONSOLIDATED NEW'!$N$2:$N$503=K$1)*(K4='ALL 498 CONSOLIDATED NEW'!$K$2:$M$503)*(ISNUMBER(MATCH('ALL 498 CONSOLIDATED NEW'!$G$2:$G$503,Table17131411212435[SCHOOL LIST],0))))</f>
        <v>0</v>
      </c>
      <c r="N4">
        <v>0</v>
      </c>
      <c r="O4">
        <f t="shared" si="2"/>
        <v>0</v>
      </c>
      <c r="AL4" s="56"/>
      <c r="AM4">
        <v>1</v>
      </c>
      <c r="AN4" t="s">
        <v>111</v>
      </c>
      <c r="AO4">
        <f>C22/3</f>
        <v>4</v>
      </c>
    </row>
    <row r="5" spans="1:41">
      <c r="A5" t="s">
        <v>1759</v>
      </c>
      <c r="B5" t="s">
        <v>1760</v>
      </c>
      <c r="C5" cm="1">
        <f t="array" ref="C5">SUMPRODUCT(('ALL 498 CONSOLIDATED NEW'!$N$2:$N$503=A$1)*(A5='ALL 498 CONSOLIDATED NEW'!$K$2:$M$503)*(ISNUMBER(MATCH('ALL 498 CONSOLIDATED NEW'!$G$2:$G$503,Table17131411212435[SCHOOL LIST],0))))</f>
        <v>0</v>
      </c>
      <c r="D5">
        <v>0</v>
      </c>
      <c r="E5">
        <f t="shared" si="0"/>
        <v>0</v>
      </c>
      <c r="F5" t="s">
        <v>1759</v>
      </c>
      <c r="G5" t="s">
        <v>1761</v>
      </c>
      <c r="H5" cm="1">
        <f t="array" ref="H5">SUMPRODUCT(('ALL 498 CONSOLIDATED NEW'!$N$2:$N$503=F$1)*(F5='ALL 498 CONSOLIDATED NEW'!$K$2:$M$503)*(ISNUMBER(MATCH('ALL 498 CONSOLIDATED NEW'!$G$2:$G$503,Table17131411212435[SCHOOL LIST],0))))</f>
        <v>0</v>
      </c>
      <c r="I5">
        <v>0</v>
      </c>
      <c r="J5">
        <f t="shared" si="1"/>
        <v>0</v>
      </c>
      <c r="K5" t="s">
        <v>1759</v>
      </c>
      <c r="L5">
        <v>105101004</v>
      </c>
      <c r="M5" cm="1">
        <f t="array" ref="M5">SUMPRODUCT(('ALL 498 CONSOLIDATED NEW'!$N$2:$N$503=K$1)*(K5='ALL 498 CONSOLIDATED NEW'!$K$2:$M$503)*(ISNUMBER(MATCH('ALL 498 CONSOLIDATED NEW'!$G$2:$G$503,Table17131411212435[SCHOOL LIST],0))))</f>
        <v>0</v>
      </c>
      <c r="N5">
        <v>0</v>
      </c>
      <c r="O5">
        <f t="shared" si="2"/>
        <v>0</v>
      </c>
      <c r="AL5" s="87"/>
      <c r="AM5">
        <v>2</v>
      </c>
      <c r="AN5" t="s">
        <v>162</v>
      </c>
      <c r="AO5">
        <f>H22/3</f>
        <v>7</v>
      </c>
    </row>
    <row r="6" spans="1:41">
      <c r="A6" t="s">
        <v>130</v>
      </c>
      <c r="B6" t="s">
        <v>1762</v>
      </c>
      <c r="C6" cm="1">
        <f t="array" ref="C6">SUMPRODUCT(('ALL 498 CONSOLIDATED NEW'!$N$2:$N$503=A$1)*(A6='ALL 498 CONSOLIDATED NEW'!$K$2:$M$503)*(ISNUMBER(MATCH('ALL 498 CONSOLIDATED NEW'!$G$2:$G$503,Table17131411212435[SCHOOL LIST],0))))</f>
        <v>2</v>
      </c>
      <c r="D6">
        <v>2</v>
      </c>
      <c r="E6">
        <f t="shared" si="0"/>
        <v>0</v>
      </c>
      <c r="F6" t="s">
        <v>130</v>
      </c>
      <c r="G6" t="s">
        <v>1763</v>
      </c>
      <c r="H6" cm="1">
        <f t="array" ref="H6">SUMPRODUCT(('ALL 498 CONSOLIDATED NEW'!$N$2:$N$503=F$1)*(F6='ALL 498 CONSOLIDATED NEW'!$K$2:$M$503)*(ISNUMBER(MATCH('ALL 498 CONSOLIDATED NEW'!$G$2:$G$503,Table17131411212435[SCHOOL LIST],0))))</f>
        <v>5</v>
      </c>
      <c r="I6">
        <v>5</v>
      </c>
      <c r="J6">
        <f t="shared" si="1"/>
        <v>0</v>
      </c>
      <c r="K6" t="s">
        <v>130</v>
      </c>
      <c r="L6">
        <v>105101005</v>
      </c>
      <c r="M6" cm="1">
        <f t="array" ref="M6">SUMPRODUCT(('ALL 498 CONSOLIDATED NEW'!$N$2:$N$503=K$1)*(K6='ALL 498 CONSOLIDATED NEW'!$K$2:$M$503)*(ISNUMBER(MATCH('ALL 498 CONSOLIDATED NEW'!$G$2:$G$503,Table17131411212435[SCHOOL LIST],0))))</f>
        <v>2</v>
      </c>
      <c r="N6">
        <v>2</v>
      </c>
      <c r="O6">
        <f t="shared" si="2"/>
        <v>0</v>
      </c>
      <c r="AL6" s="56"/>
      <c r="AM6">
        <v>3</v>
      </c>
      <c r="AN6" t="s">
        <v>117</v>
      </c>
      <c r="AO6">
        <f>M22/3</f>
        <v>4</v>
      </c>
    </row>
    <row r="7" spans="1:41">
      <c r="A7" t="s">
        <v>443</v>
      </c>
      <c r="B7" t="s">
        <v>1764</v>
      </c>
      <c r="C7" cm="1">
        <f t="array" ref="C7">SUMPRODUCT(('ALL 498 CONSOLIDATED NEW'!$N$2:$N$503=A$1)*(A7='ALL 498 CONSOLIDATED NEW'!$K$2:$M$503)*(ISNUMBER(MATCH('ALL 498 CONSOLIDATED NEW'!$G$2:$G$503,Table17131411212435[SCHOOL LIST],0))))</f>
        <v>0</v>
      </c>
      <c r="D7">
        <v>0</v>
      </c>
      <c r="E7">
        <f t="shared" si="0"/>
        <v>0</v>
      </c>
      <c r="F7" t="s">
        <v>443</v>
      </c>
      <c r="G7" t="s">
        <v>1765</v>
      </c>
      <c r="H7" cm="1">
        <f t="array" ref="H7">SUMPRODUCT(('ALL 498 CONSOLIDATED NEW'!$N$2:$N$503=F$1)*(F7='ALL 498 CONSOLIDATED NEW'!$K$2:$M$503)*(ISNUMBER(MATCH('ALL 498 CONSOLIDATED NEW'!$G$2:$G$503,Table17131411212435[SCHOOL LIST],0))))</f>
        <v>0</v>
      </c>
      <c r="I7">
        <v>0</v>
      </c>
      <c r="J7">
        <f t="shared" si="1"/>
        <v>0</v>
      </c>
      <c r="K7" t="s">
        <v>443</v>
      </c>
      <c r="L7">
        <v>105101006</v>
      </c>
      <c r="M7" cm="1">
        <f t="array" ref="M7">SUMPRODUCT(('ALL 498 CONSOLIDATED NEW'!$N$2:$N$503=K$1)*(K7='ALL 498 CONSOLIDATED NEW'!$K$2:$M$503)*(ISNUMBER(MATCH('ALL 498 CONSOLIDATED NEW'!$G$2:$G$503,Table17131411212435[SCHOOL LIST],0))))</f>
        <v>0</v>
      </c>
      <c r="N7">
        <v>0</v>
      </c>
      <c r="O7">
        <f t="shared" si="2"/>
        <v>0</v>
      </c>
      <c r="AL7" s="87"/>
      <c r="AM7">
        <v>4</v>
      </c>
      <c r="AN7" t="s">
        <v>188</v>
      </c>
      <c r="AO7">
        <f>R22/2</f>
        <v>0</v>
      </c>
    </row>
    <row r="8" spans="1:41">
      <c r="A8" t="s">
        <v>110</v>
      </c>
      <c r="B8" t="s">
        <v>1766</v>
      </c>
      <c r="C8" cm="1">
        <f t="array" ref="C8">SUMPRODUCT(('ALL 498 CONSOLIDATED NEW'!$N$2:$N$503=A$1)*(A8='ALL 498 CONSOLIDATED NEW'!$K$2:$M$503)*(ISNUMBER(MATCH('ALL 498 CONSOLIDATED NEW'!$G$2:$G$503,Table17131411212435[SCHOOL LIST],0))))</f>
        <v>2</v>
      </c>
      <c r="D8">
        <v>2</v>
      </c>
      <c r="E8">
        <f t="shared" si="0"/>
        <v>0</v>
      </c>
      <c r="F8" t="s">
        <v>110</v>
      </c>
      <c r="G8" t="s">
        <v>1767</v>
      </c>
      <c r="H8" cm="1">
        <f t="array" ref="H8">SUMPRODUCT(('ALL 498 CONSOLIDATED NEW'!$N$2:$N$503=F$1)*(F8='ALL 498 CONSOLIDATED NEW'!$K$2:$M$503)*(ISNUMBER(MATCH('ALL 498 CONSOLIDATED NEW'!$G$2:$G$503,Table17131411212435[SCHOOL LIST],0))))</f>
        <v>5</v>
      </c>
      <c r="I8">
        <v>5</v>
      </c>
      <c r="J8">
        <f t="shared" si="1"/>
        <v>0</v>
      </c>
      <c r="K8" t="s">
        <v>110</v>
      </c>
      <c r="L8">
        <v>105101007</v>
      </c>
      <c r="M8" cm="1">
        <f t="array" ref="M8">SUMPRODUCT(('ALL 498 CONSOLIDATED NEW'!$N$2:$N$503=K$1)*(K8='ALL 498 CONSOLIDATED NEW'!$K$2:$M$503)*(ISNUMBER(MATCH('ALL 498 CONSOLIDATED NEW'!$G$2:$G$503,Table17131411212435[SCHOOL LIST],0))))</f>
        <v>2</v>
      </c>
      <c r="N8">
        <v>2</v>
      </c>
      <c r="O8">
        <f t="shared" si="2"/>
        <v>0</v>
      </c>
      <c r="AL8" s="56"/>
      <c r="AM8">
        <v>5</v>
      </c>
      <c r="AN8" t="s">
        <v>16</v>
      </c>
      <c r="AO8">
        <f>W22/2</f>
        <v>0</v>
      </c>
    </row>
    <row r="9" spans="1:41">
      <c r="A9" t="s">
        <v>108</v>
      </c>
      <c r="B9" t="s">
        <v>1768</v>
      </c>
      <c r="C9" cm="1">
        <f t="array" ref="C9">SUMPRODUCT(('ALL 498 CONSOLIDATED NEW'!$N$2:$N$503=A$1)*(A9='ALL 498 CONSOLIDATED NEW'!$K$2:$M$503)*(ISNUMBER(MATCH('ALL 498 CONSOLIDATED NEW'!$G$2:$G$503,Table17131411212435[SCHOOL LIST],0))))</f>
        <v>3</v>
      </c>
      <c r="D9">
        <v>3</v>
      </c>
      <c r="E9">
        <f t="shared" si="0"/>
        <v>0</v>
      </c>
      <c r="F9" t="s">
        <v>108</v>
      </c>
      <c r="G9" t="s">
        <v>1769</v>
      </c>
      <c r="H9" cm="1">
        <f t="array" ref="H9">SUMPRODUCT(('ALL 498 CONSOLIDATED NEW'!$N$2:$N$503=F$1)*(F9='ALL 498 CONSOLIDATED NEW'!$K$2:$M$503)*(ISNUMBER(MATCH('ALL 498 CONSOLIDATED NEW'!$G$2:$G$503,Table17131411212435[SCHOOL LIST],0))))</f>
        <v>6</v>
      </c>
      <c r="I9">
        <v>6</v>
      </c>
      <c r="J9">
        <f t="shared" si="1"/>
        <v>0</v>
      </c>
      <c r="K9" t="s">
        <v>108</v>
      </c>
      <c r="L9">
        <v>105101008</v>
      </c>
      <c r="M9" cm="1">
        <f t="array" ref="M9">SUMPRODUCT(('ALL 498 CONSOLIDATED NEW'!$N$2:$N$503=K$1)*(K9='ALL 498 CONSOLIDATED NEW'!$K$2:$M$503)*(ISNUMBER(MATCH('ALL 498 CONSOLIDATED NEW'!$G$2:$G$503,Table17131411212435[SCHOOL LIST],0))))</f>
        <v>3</v>
      </c>
      <c r="N9">
        <v>3</v>
      </c>
      <c r="O9">
        <f t="shared" si="2"/>
        <v>0</v>
      </c>
      <c r="AL9" s="56"/>
      <c r="AM9">
        <v>6</v>
      </c>
      <c r="AN9" t="s">
        <v>122</v>
      </c>
      <c r="AO9">
        <f>AB22</f>
        <v>0</v>
      </c>
    </row>
    <row r="10" spans="1:41">
      <c r="A10" t="s">
        <v>250</v>
      </c>
      <c r="B10" t="s">
        <v>1770</v>
      </c>
      <c r="C10" cm="1">
        <f t="array" ref="C10">SUMPRODUCT(('ALL 498 CONSOLIDATED NEW'!$N$2:$N$503=A$1)*(A10='ALL 498 CONSOLIDATED NEW'!$K$2:$M$503)*(ISNUMBER(MATCH('ALL 498 CONSOLIDATED NEW'!$G$2:$G$503,Table17131411212435[SCHOOL LIST],0))))</f>
        <v>0</v>
      </c>
      <c r="D10">
        <v>0</v>
      </c>
      <c r="E10">
        <f t="shared" si="0"/>
        <v>0</v>
      </c>
      <c r="F10" t="s">
        <v>250</v>
      </c>
      <c r="G10" t="s">
        <v>1771</v>
      </c>
      <c r="H10" cm="1">
        <f t="array" ref="H10">SUMPRODUCT(('ALL 498 CONSOLIDATED NEW'!$N$2:$N$503=F$1)*(F10='ALL 498 CONSOLIDATED NEW'!$K$2:$M$503)*(ISNUMBER(MATCH('ALL 498 CONSOLIDATED NEW'!$G$2:$G$503,Table17131411212435[SCHOOL LIST],0))))</f>
        <v>0</v>
      </c>
      <c r="I10">
        <v>0</v>
      </c>
      <c r="J10">
        <f t="shared" si="1"/>
        <v>0</v>
      </c>
      <c r="K10" t="s">
        <v>250</v>
      </c>
      <c r="L10">
        <v>105101009</v>
      </c>
      <c r="M10" cm="1">
        <f t="array" ref="M10">SUMPRODUCT(('ALL 498 CONSOLIDATED NEW'!$N$2:$N$503=K$1)*(K10='ALL 498 CONSOLIDATED NEW'!$K$2:$M$503)*(ISNUMBER(MATCH('ALL 498 CONSOLIDATED NEW'!$G$2:$G$503,Table17131411212435[SCHOOL LIST],0))))</f>
        <v>0</v>
      </c>
      <c r="N10">
        <v>0</v>
      </c>
      <c r="O10">
        <f t="shared" si="2"/>
        <v>0</v>
      </c>
      <c r="AL10" s="56"/>
      <c r="AM10">
        <v>7</v>
      </c>
      <c r="AN10" t="s">
        <v>12</v>
      </c>
      <c r="AO10">
        <f>AG22</f>
        <v>1</v>
      </c>
    </row>
    <row r="11" spans="1:41">
      <c r="A11" t="s">
        <v>135</v>
      </c>
      <c r="B11" t="s">
        <v>1772</v>
      </c>
      <c r="C11" cm="1">
        <f t="array" ref="C11">SUMPRODUCT(('ALL 498 CONSOLIDATED NEW'!$N$2:$N$503=A$1)*(A11='ALL 498 CONSOLIDATED NEW'!$K$2:$M$503)*(ISNUMBER(MATCH('ALL 498 CONSOLIDATED NEW'!$G$2:$G$503,Table17131411212435[SCHOOL LIST],0))))</f>
        <v>1</v>
      </c>
      <c r="D11">
        <v>1</v>
      </c>
      <c r="E11">
        <f t="shared" si="0"/>
        <v>0</v>
      </c>
      <c r="F11" t="s">
        <v>135</v>
      </c>
      <c r="G11" t="s">
        <v>1773</v>
      </c>
      <c r="H11" cm="1">
        <f t="array" ref="H11">SUMPRODUCT(('ALL 498 CONSOLIDATED NEW'!$N$2:$N$503=F$1)*(F11='ALL 498 CONSOLIDATED NEW'!$K$2:$M$503)*(ISNUMBER(MATCH('ALL 498 CONSOLIDATED NEW'!$G$2:$G$503,Table17131411212435[SCHOOL LIST],0))))</f>
        <v>2</v>
      </c>
      <c r="I11">
        <v>2</v>
      </c>
      <c r="J11">
        <f t="shared" si="1"/>
        <v>0</v>
      </c>
      <c r="K11" t="s">
        <v>135</v>
      </c>
      <c r="L11">
        <v>105101010</v>
      </c>
      <c r="M11" cm="1">
        <f t="array" ref="M11">SUMPRODUCT(('ALL 498 CONSOLIDATED NEW'!$N$2:$N$503=K$1)*(K11='ALL 498 CONSOLIDATED NEW'!$K$2:$M$503)*(ISNUMBER(MATCH('ALL 498 CONSOLIDATED NEW'!$G$2:$G$503,Table17131411212435[SCHOOL LIST],0))))</f>
        <v>2</v>
      </c>
      <c r="N11">
        <v>2</v>
      </c>
      <c r="O11">
        <f t="shared" si="2"/>
        <v>0</v>
      </c>
      <c r="AL11" s="56"/>
      <c r="AN11" s="99" t="s">
        <v>1774</v>
      </c>
      <c r="AO11">
        <f>SUM(AO4:AO10)</f>
        <v>16</v>
      </c>
    </row>
    <row r="12" spans="1:41">
      <c r="A12" t="s">
        <v>150</v>
      </c>
      <c r="B12" t="s">
        <v>1775</v>
      </c>
      <c r="C12" cm="1">
        <f t="array" ref="C12">SUMPRODUCT(('ALL 498 CONSOLIDATED NEW'!$N$2:$N$503=A$1)*(A12='ALL 498 CONSOLIDATED NEW'!$K$2:$M$503)*(ISNUMBER(MATCH('ALL 498 CONSOLIDATED NEW'!$G$2:$G$503,Table17131411212435[SCHOOL LIST],0))))</f>
        <v>0</v>
      </c>
      <c r="D12">
        <v>0</v>
      </c>
      <c r="E12">
        <f t="shared" si="0"/>
        <v>0</v>
      </c>
      <c r="F12" t="s">
        <v>150</v>
      </c>
      <c r="G12" t="s">
        <v>1776</v>
      </c>
      <c r="H12" cm="1">
        <f t="array" ref="H12">SUMPRODUCT(('ALL 498 CONSOLIDATED NEW'!$N$2:$N$503=F$1)*(F12='ALL 498 CONSOLIDATED NEW'!$K$2:$M$503)*(ISNUMBER(MATCH('ALL 498 CONSOLIDATED NEW'!$G$2:$G$503,Table17131411212435[SCHOOL LIST],0))))</f>
        <v>1</v>
      </c>
      <c r="I12">
        <v>1</v>
      </c>
      <c r="J12">
        <f t="shared" si="1"/>
        <v>0</v>
      </c>
      <c r="K12" t="s">
        <v>150</v>
      </c>
      <c r="L12">
        <v>105101011</v>
      </c>
      <c r="M12" cm="1">
        <f t="array" ref="M12">SUMPRODUCT(('ALL 498 CONSOLIDATED NEW'!$N$2:$N$503=K$1)*(K12='ALL 498 CONSOLIDATED NEW'!$K$2:$M$503)*(ISNUMBER(MATCH('ALL 498 CONSOLIDATED NEW'!$G$2:$G$503,Table17131411212435[SCHOOL LIST],0))))</f>
        <v>1</v>
      </c>
      <c r="N12">
        <v>1</v>
      </c>
      <c r="O12">
        <f t="shared" si="2"/>
        <v>0</v>
      </c>
      <c r="AL12" s="56"/>
      <c r="AN12" s="99" t="s">
        <v>1777</v>
      </c>
      <c r="AO12">
        <f>SUM(AO4:AO9)</f>
        <v>15</v>
      </c>
    </row>
    <row r="13" spans="1:41">
      <c r="A13" t="s">
        <v>846</v>
      </c>
      <c r="B13" t="s">
        <v>1778</v>
      </c>
      <c r="C13" cm="1">
        <f t="array" ref="C13">SUMPRODUCT(('ALL 498 CONSOLIDATED NEW'!$N$2:$N$503=A$1)*(A13='ALL 498 CONSOLIDATED NEW'!$K$2:$M$503)*(ISNUMBER(MATCH('ALL 498 CONSOLIDATED NEW'!$G$2:$G$503,Table17131411212435[SCHOOL LIST],0))))</f>
        <v>0</v>
      </c>
      <c r="D13">
        <v>0</v>
      </c>
      <c r="E13">
        <f t="shared" si="0"/>
        <v>0</v>
      </c>
      <c r="F13" t="s">
        <v>846</v>
      </c>
      <c r="G13" t="s">
        <v>1779</v>
      </c>
      <c r="H13" cm="1">
        <f t="array" ref="H13">SUMPRODUCT(('ALL 498 CONSOLIDATED NEW'!$N$2:$N$503=F$1)*(F13='ALL 498 CONSOLIDATED NEW'!$K$2:$M$503)*(ISNUMBER(MATCH('ALL 498 CONSOLIDATED NEW'!$G$2:$G$503,Table17131411212435[SCHOOL LIST],0))))</f>
        <v>0</v>
      </c>
      <c r="I13">
        <v>0</v>
      </c>
      <c r="J13">
        <f t="shared" si="1"/>
        <v>0</v>
      </c>
      <c r="K13" t="s">
        <v>846</v>
      </c>
      <c r="L13">
        <v>105101012</v>
      </c>
      <c r="M13" cm="1">
        <f t="array" ref="M13">SUMPRODUCT(('ALL 498 CONSOLIDATED NEW'!$N$2:$N$503=K$1)*(K13='ALL 498 CONSOLIDATED NEW'!$K$2:$M$503)*(ISNUMBER(MATCH('ALL 498 CONSOLIDATED NEW'!$G$2:$G$503,Table17131411212435[SCHOOL LIST],0))))</f>
        <v>0</v>
      </c>
      <c r="N13">
        <v>0</v>
      </c>
      <c r="O13">
        <f t="shared" si="2"/>
        <v>0</v>
      </c>
      <c r="AL13" s="98"/>
    </row>
    <row r="14" spans="1:41">
      <c r="A14" t="s">
        <v>251</v>
      </c>
      <c r="B14" t="s">
        <v>1780</v>
      </c>
      <c r="C14" cm="1">
        <f t="array" ref="C14">SUMPRODUCT(('ALL 498 CONSOLIDATED NEW'!$N$2:$N$503=A$1)*(A14='ALL 498 CONSOLIDATED NEW'!$K$2:$M$503)*(ISNUMBER(MATCH('ALL 498 CONSOLIDATED NEW'!$G$2:$G$503,Table17131411212435[SCHOOL LIST],0))))</f>
        <v>0</v>
      </c>
      <c r="D14">
        <v>0</v>
      </c>
      <c r="E14">
        <f t="shared" si="0"/>
        <v>0</v>
      </c>
      <c r="F14" t="s">
        <v>251</v>
      </c>
      <c r="G14" t="s">
        <v>1781</v>
      </c>
      <c r="H14" cm="1">
        <f t="array" ref="H14">SUMPRODUCT(('ALL 498 CONSOLIDATED NEW'!$N$2:$N$503=F$1)*(F14='ALL 498 CONSOLIDATED NEW'!$K$2:$M$503)*(ISNUMBER(MATCH('ALL 498 CONSOLIDATED NEW'!$G$2:$G$503,Table17131411212435[SCHOOL LIST],0))))</f>
        <v>0</v>
      </c>
      <c r="I14">
        <v>0</v>
      </c>
      <c r="J14">
        <f t="shared" si="1"/>
        <v>0</v>
      </c>
      <c r="K14" t="s">
        <v>251</v>
      </c>
      <c r="L14">
        <v>105101013</v>
      </c>
      <c r="M14" cm="1">
        <f t="array" ref="M14">SUMPRODUCT(('ALL 498 CONSOLIDATED NEW'!$N$2:$N$503=K$1)*(K14='ALL 498 CONSOLIDATED NEW'!$K$2:$M$503)*(ISNUMBER(MATCH('ALL 498 CONSOLIDATED NEW'!$G$2:$G$503,Table17131411212435[SCHOOL LIST],0))))</f>
        <v>0</v>
      </c>
      <c r="N14">
        <v>0</v>
      </c>
      <c r="O14">
        <f t="shared" si="2"/>
        <v>0</v>
      </c>
    </row>
    <row r="15" spans="1:41">
      <c r="A15" t="s">
        <v>136</v>
      </c>
      <c r="B15" t="s">
        <v>1782</v>
      </c>
      <c r="C15" cm="1">
        <f t="array" ref="C15">SUMPRODUCT(('ALL 498 CONSOLIDATED NEW'!$N$2:$N$503=A$1)*(A15='ALL 498 CONSOLIDATED NEW'!$K$2:$M$503)*(ISNUMBER(MATCH('ALL 498 CONSOLIDATED NEW'!$G$2:$G$503,Table17131411212435[SCHOOL LIST],0))))</f>
        <v>1</v>
      </c>
      <c r="D15">
        <v>1</v>
      </c>
      <c r="E15">
        <f t="shared" si="0"/>
        <v>0</v>
      </c>
      <c r="F15" t="s">
        <v>136</v>
      </c>
      <c r="G15" t="s">
        <v>1783</v>
      </c>
      <c r="H15" cm="1">
        <f t="array" ref="H15">SUMPRODUCT(('ALL 498 CONSOLIDATED NEW'!$N$2:$N$503=F$1)*(F15='ALL 498 CONSOLIDATED NEW'!$K$2:$M$503)*(ISNUMBER(MATCH('ALL 498 CONSOLIDATED NEW'!$G$2:$G$503,Table17131411212435[SCHOOL LIST],0))))</f>
        <v>2</v>
      </c>
      <c r="I15">
        <v>2</v>
      </c>
      <c r="J15">
        <f t="shared" si="1"/>
        <v>0</v>
      </c>
      <c r="K15" t="s">
        <v>136</v>
      </c>
      <c r="L15">
        <v>105101014</v>
      </c>
      <c r="M15" cm="1">
        <f t="array" ref="M15">SUMPRODUCT(('ALL 498 CONSOLIDATED NEW'!$N$2:$N$503=K$1)*(K15='ALL 498 CONSOLIDATED NEW'!$K$2:$M$503)*(ISNUMBER(MATCH('ALL 498 CONSOLIDATED NEW'!$G$2:$G$503,Table17131411212435[SCHOOL LIST],0))))</f>
        <v>2</v>
      </c>
      <c r="N15">
        <v>2</v>
      </c>
      <c r="O15">
        <f t="shared" si="2"/>
        <v>0</v>
      </c>
    </row>
    <row r="16" spans="1:41">
      <c r="A16" t="s">
        <v>198</v>
      </c>
      <c r="B16" t="s">
        <v>1784</v>
      </c>
      <c r="C16" cm="1">
        <f t="array" ref="C16">SUMPRODUCT(('ALL 498 CONSOLIDATED NEW'!$N$2:$N$503=A$1)*(A16='ALL 498 CONSOLIDATED NEW'!$K$2:$M$503)*(ISNUMBER(MATCH('ALL 498 CONSOLIDATED NEW'!$G$2:$G$503,Table17131411212435[SCHOOL LIST],0))))</f>
        <v>1</v>
      </c>
      <c r="D16">
        <v>1</v>
      </c>
      <c r="E16">
        <f t="shared" si="0"/>
        <v>0</v>
      </c>
      <c r="F16" t="s">
        <v>198</v>
      </c>
      <c r="G16" t="s">
        <v>1785</v>
      </c>
      <c r="H16" cm="1">
        <f t="array" ref="H16">SUMPRODUCT(('ALL 498 CONSOLIDATED NEW'!$N$2:$N$503=F$1)*(F16='ALL 498 CONSOLIDATED NEW'!$K$2:$M$503)*(ISNUMBER(MATCH('ALL 498 CONSOLIDATED NEW'!$G$2:$G$503,Table17131411212435[SCHOOL LIST],0))))</f>
        <v>0</v>
      </c>
      <c r="I16">
        <v>0</v>
      </c>
      <c r="J16">
        <f t="shared" si="1"/>
        <v>0</v>
      </c>
      <c r="K16" t="s">
        <v>198</v>
      </c>
      <c r="L16">
        <v>105101015</v>
      </c>
      <c r="M16" cm="1">
        <f t="array" ref="M16">SUMPRODUCT(('ALL 498 CONSOLIDATED NEW'!$N$2:$N$503=K$1)*(K16='ALL 498 CONSOLIDATED NEW'!$K$2:$M$503)*(ISNUMBER(MATCH('ALL 498 CONSOLIDATED NEW'!$G$2:$G$503,Table17131411212435[SCHOOL LIST],0))))</f>
        <v>0</v>
      </c>
      <c r="N16">
        <v>0</v>
      </c>
      <c r="O16">
        <f t="shared" si="2"/>
        <v>0</v>
      </c>
    </row>
    <row r="17" spans="1:37">
      <c r="A17" t="s">
        <v>200</v>
      </c>
      <c r="B17" t="s">
        <v>1786</v>
      </c>
      <c r="C17" cm="1">
        <f t="array" ref="C17">SUMPRODUCT(('ALL 498 CONSOLIDATED NEW'!$N$2:$N$503=A$1)*(A17='ALL 498 CONSOLIDATED NEW'!$K$2:$M$503)*(ISNUMBER(MATCH('ALL 498 CONSOLIDATED NEW'!$G$2:$G$503,Table17131411212435[SCHOOL LIST],0))))</f>
        <v>1</v>
      </c>
      <c r="D17">
        <v>1</v>
      </c>
      <c r="E17">
        <f t="shared" si="0"/>
        <v>0</v>
      </c>
      <c r="F17" t="s">
        <v>200</v>
      </c>
      <c r="G17" t="s">
        <v>1787</v>
      </c>
      <c r="H17" cm="1">
        <f t="array" ref="H17">SUMPRODUCT(('ALL 498 CONSOLIDATED NEW'!$N$2:$N$503=F$1)*(F17='ALL 498 CONSOLIDATED NEW'!$K$2:$M$503)*(ISNUMBER(MATCH('ALL 498 CONSOLIDATED NEW'!$G$2:$G$503,Table17131411212435[SCHOOL LIST],0))))</f>
        <v>0</v>
      </c>
      <c r="I17">
        <v>0</v>
      </c>
      <c r="J17">
        <f t="shared" si="1"/>
        <v>0</v>
      </c>
      <c r="K17" t="s">
        <v>200</v>
      </c>
      <c r="L17">
        <v>105101016</v>
      </c>
      <c r="M17" cm="1">
        <f t="array" ref="M17">SUMPRODUCT(('ALL 498 CONSOLIDATED NEW'!$N$2:$N$503=K$1)*(K17='ALL 498 CONSOLIDATED NEW'!$K$2:$M$503)*(ISNUMBER(MATCH('ALL 498 CONSOLIDATED NEW'!$G$2:$G$503,Table17131411212435[SCHOOL LIST],0))))</f>
        <v>0</v>
      </c>
      <c r="N17">
        <v>0</v>
      </c>
      <c r="O17">
        <f t="shared" si="2"/>
        <v>0</v>
      </c>
    </row>
    <row r="18" spans="1:37">
      <c r="A18" t="s">
        <v>1788</v>
      </c>
      <c r="B18" t="s">
        <v>1789</v>
      </c>
      <c r="C18" cm="1">
        <f t="array" ref="C18">SUMPRODUCT(('ALL 498 CONSOLIDATED NEW'!$N$2:$N$503=A$1)*(A18='ALL 498 CONSOLIDATED NEW'!$K$2:$M$503)*(ISNUMBER(MATCH('ALL 498 CONSOLIDATED NEW'!$G$2:$G$503,Table17131411212435[SCHOOL LIST],0))))</f>
        <v>0</v>
      </c>
      <c r="D18">
        <v>0</v>
      </c>
      <c r="E18">
        <f t="shared" si="0"/>
        <v>0</v>
      </c>
      <c r="F18" t="s">
        <v>1788</v>
      </c>
      <c r="G18" t="s">
        <v>1790</v>
      </c>
      <c r="H18" cm="1">
        <f t="array" ref="H18">SUMPRODUCT(('ALL 498 CONSOLIDATED NEW'!$N$2:$N$503=F$1)*(F18='ALL 498 CONSOLIDATED NEW'!$K$2:$M$503)*(ISNUMBER(MATCH('ALL 498 CONSOLIDATED NEW'!$G$2:$G$503,Table17131411212435[SCHOOL LIST],0))))</f>
        <v>0</v>
      </c>
      <c r="I18">
        <v>0</v>
      </c>
      <c r="J18">
        <f t="shared" si="1"/>
        <v>0</v>
      </c>
      <c r="K18" t="s">
        <v>1788</v>
      </c>
      <c r="L18">
        <v>105101017</v>
      </c>
      <c r="M18" cm="1">
        <f t="array" ref="M18">SUMPRODUCT(('ALL 498 CONSOLIDATED NEW'!$N$2:$N$503=K$1)*(K18='ALL 498 CONSOLIDATED NEW'!$K$2:$M$503)*(ISNUMBER(MATCH('ALL 498 CONSOLIDATED NEW'!$G$2:$G$503,Table17131411212435[SCHOOL LIST],0))))</f>
        <v>0</v>
      </c>
      <c r="N18">
        <v>0</v>
      </c>
      <c r="O18">
        <f t="shared" si="2"/>
        <v>0</v>
      </c>
    </row>
    <row r="19" spans="1:37">
      <c r="A19" t="s">
        <v>315</v>
      </c>
      <c r="B19" t="s">
        <v>1791</v>
      </c>
      <c r="C19" cm="1">
        <f t="array" ref="C19">SUMPRODUCT(('ALL 498 CONSOLIDATED NEW'!$N$2:$N$503=A$1)*(A19='ALL 498 CONSOLIDATED NEW'!$K$2:$M$503)*(ISNUMBER(MATCH('ALL 498 CONSOLIDATED NEW'!$G$2:$G$503,Table17131411212435[SCHOOL LIST],0))))</f>
        <v>0</v>
      </c>
      <c r="D19">
        <v>0</v>
      </c>
      <c r="E19">
        <f t="shared" si="0"/>
        <v>0</v>
      </c>
      <c r="F19" t="s">
        <v>315</v>
      </c>
      <c r="G19" t="s">
        <v>1792</v>
      </c>
      <c r="H19" cm="1">
        <f t="array" ref="H19">SUMPRODUCT(('ALL 498 CONSOLIDATED NEW'!$N$2:$N$503=F$1)*(F19='ALL 498 CONSOLIDATED NEW'!$K$2:$M$503)*(ISNUMBER(MATCH('ALL 498 CONSOLIDATED NEW'!$G$2:$G$503,Table17131411212435[SCHOOL LIST],0))))</f>
        <v>0</v>
      </c>
      <c r="I19">
        <v>0</v>
      </c>
      <c r="J19">
        <f t="shared" si="1"/>
        <v>0</v>
      </c>
      <c r="K19" t="s">
        <v>315</v>
      </c>
      <c r="L19">
        <v>105101018</v>
      </c>
      <c r="M19" cm="1">
        <f t="array" ref="M19">SUMPRODUCT(('ALL 498 CONSOLIDATED NEW'!$N$2:$N$503=K$1)*(K19='ALL 498 CONSOLIDATED NEW'!$K$2:$M$503)*(ISNUMBER(MATCH('ALL 498 CONSOLIDATED NEW'!$G$2:$G$503,Table17131411212435[SCHOOL LIST],0))))</f>
        <v>0</v>
      </c>
      <c r="N19">
        <v>0</v>
      </c>
      <c r="O19">
        <f t="shared" si="2"/>
        <v>0</v>
      </c>
    </row>
    <row r="20" spans="1:37">
      <c r="A20" t="s">
        <v>199</v>
      </c>
      <c r="B20" t="s">
        <v>1793</v>
      </c>
      <c r="C20" cm="1">
        <f t="array" ref="C20">SUMPRODUCT(('ALL 498 CONSOLIDATED NEW'!$N$2:$N$503=A$1)*(A20='ALL 498 CONSOLIDATED NEW'!$K$2:$M$503)*(ISNUMBER(MATCH('ALL 498 CONSOLIDATED NEW'!$G$2:$G$503,Table17131411212435[SCHOOL LIST],0))))</f>
        <v>1</v>
      </c>
      <c r="D20">
        <v>1</v>
      </c>
      <c r="E20">
        <f t="shared" si="0"/>
        <v>0</v>
      </c>
      <c r="F20" t="s">
        <v>199</v>
      </c>
      <c r="G20" t="s">
        <v>1794</v>
      </c>
      <c r="H20" cm="1">
        <f t="array" ref="H20">SUMPRODUCT(('ALL 498 CONSOLIDATED NEW'!$N$2:$N$503=F$1)*(F20='ALL 498 CONSOLIDATED NEW'!$K$2:$M$503)*(ISNUMBER(MATCH('ALL 498 CONSOLIDATED NEW'!$G$2:$G$503,Table17131411212435[SCHOOL LIST],0))))</f>
        <v>0</v>
      </c>
      <c r="I20">
        <v>0</v>
      </c>
      <c r="J20">
        <f t="shared" si="1"/>
        <v>0</v>
      </c>
      <c r="K20" t="s">
        <v>199</v>
      </c>
      <c r="L20">
        <v>105101019</v>
      </c>
      <c r="M20" cm="1">
        <f t="array" ref="M20">SUMPRODUCT(('ALL 498 CONSOLIDATED NEW'!$N$2:$N$503=K$1)*(K20='ALL 498 CONSOLIDATED NEW'!$K$2:$M$503)*(ISNUMBER(MATCH('ALL 498 CONSOLIDATED NEW'!$G$2:$G$503,Table17131411212435[SCHOOL LIST],0))))</f>
        <v>0</v>
      </c>
      <c r="N20">
        <v>0</v>
      </c>
      <c r="O20">
        <f t="shared" si="2"/>
        <v>0</v>
      </c>
    </row>
    <row r="21" spans="1:37">
      <c r="A21" t="s">
        <v>635</v>
      </c>
      <c r="B21" t="s">
        <v>1795</v>
      </c>
      <c r="C21" cm="1">
        <f t="array" ref="C21">SUMPRODUCT(('ALL 498 CONSOLIDATED NEW'!$N$2:$N$503=A$1)*(A21='ALL 498 CONSOLIDATED NEW'!$K$2:$M$503)*(ISNUMBER(MATCH('ALL 498 CONSOLIDATED NEW'!$G$2:$G$503,Table17131411212435[SCHOOL LIST],0))))</f>
        <v>0</v>
      </c>
      <c r="D21">
        <v>0</v>
      </c>
      <c r="E21">
        <f t="shared" si="0"/>
        <v>0</v>
      </c>
      <c r="F21" t="s">
        <v>635</v>
      </c>
      <c r="G21" t="s">
        <v>1796</v>
      </c>
      <c r="H21" cm="1">
        <f t="array" ref="H21">SUMPRODUCT(('ALL 498 CONSOLIDATED NEW'!$N$2:$N$503=F$1)*(F21='ALL 498 CONSOLIDATED NEW'!$K$2:$M$503)*(ISNUMBER(MATCH('ALL 498 CONSOLIDATED NEW'!$G$2:$G$503,Table17131411212435[SCHOOL LIST],0))))</f>
        <v>0</v>
      </c>
      <c r="I21">
        <v>0</v>
      </c>
      <c r="J21">
        <f t="shared" si="1"/>
        <v>0</v>
      </c>
      <c r="K21" t="s">
        <v>635</v>
      </c>
      <c r="L21">
        <v>105101020</v>
      </c>
      <c r="M21" cm="1">
        <f t="array" ref="M21">SUMPRODUCT(('ALL 498 CONSOLIDATED NEW'!$N$2:$N$503=K$1)*(K21='ALL 498 CONSOLIDATED NEW'!$K$2:$M$503)*(ISNUMBER(MATCH('ALL 498 CONSOLIDATED NEW'!$G$2:$G$503,Table17131411212435[SCHOOL LIST],0))))</f>
        <v>0</v>
      </c>
      <c r="N21">
        <v>0</v>
      </c>
      <c r="O21">
        <f t="shared" si="2"/>
        <v>0</v>
      </c>
    </row>
    <row r="22" spans="1:37" s="20" customFormat="1" ht="30.75">
      <c r="B22" s="20" t="str">
        <f>A1</f>
        <v>Palm Pen Holder</v>
      </c>
      <c r="C22" s="20">
        <f>SUM(C2:C21)</f>
        <v>12</v>
      </c>
      <c r="D22">
        <f>SUM(D2:D21)</f>
        <v>12</v>
      </c>
      <c r="E22">
        <f t="shared" si="0"/>
        <v>0</v>
      </c>
      <c r="G22" s="20" t="str">
        <f>F1</f>
        <v>TOOTH  BRUSH ADAPTER</v>
      </c>
      <c r="H22" s="20">
        <f>SUM(H2:H21)</f>
        <v>21</v>
      </c>
      <c r="I22" s="20">
        <f>SUM(I2:I21)</f>
        <v>21</v>
      </c>
      <c r="J22">
        <f t="shared" si="1"/>
        <v>0</v>
      </c>
      <c r="L22" s="20" t="str">
        <f>K1</f>
        <v>Utensil Holder</v>
      </c>
      <c r="M22" s="20">
        <f>SUM(M2:M21)</f>
        <v>12</v>
      </c>
      <c r="N22" s="20">
        <f>SUM(N2:N21)</f>
        <v>12</v>
      </c>
      <c r="O22">
        <f t="shared" si="2"/>
        <v>0</v>
      </c>
      <c r="Q22" s="20" t="str">
        <f>P1</f>
        <v>Reading Bar - Curved</v>
      </c>
      <c r="R22" s="20">
        <f>SUM(R2:R21)</f>
        <v>0</v>
      </c>
      <c r="S22" s="20">
        <f>SUM(S2:S3)</f>
        <v>0</v>
      </c>
      <c r="T22">
        <f t="shared" ref="T22" si="3">R22-S22</f>
        <v>0</v>
      </c>
      <c r="V22" s="20" t="str">
        <f>U1</f>
        <v>Assistive Pencil Grip</v>
      </c>
      <c r="W22" s="20">
        <f>SUM(W2:W21)</f>
        <v>0</v>
      </c>
      <c r="X22" s="20">
        <f>SUM(X2:X3)</f>
        <v>0</v>
      </c>
      <c r="Y22" s="20">
        <f t="shared" ref="Y22" si="4">W22-X22</f>
        <v>0</v>
      </c>
      <c r="AA22" s="20" t="str">
        <f>Z1</f>
        <v>Button Aid</v>
      </c>
      <c r="AB22" s="20">
        <f>SUM(AB2:AB21)</f>
        <v>0</v>
      </c>
      <c r="AC22" s="20">
        <f>SUM(AC2:AC3)</f>
        <v>0</v>
      </c>
      <c r="AD22" s="20">
        <f t="shared" ref="AD22" si="5">AB22-AC22</f>
        <v>0</v>
      </c>
      <c r="AF22" s="20" t="str">
        <f>AE1</f>
        <v>LOW PROFILE SWITCH</v>
      </c>
      <c r="AG22" s="20">
        <f>SUM(AG2:AG21)</f>
        <v>1</v>
      </c>
      <c r="AH22" s="20">
        <f>SUM(AH2:AH3)</f>
        <v>0</v>
      </c>
      <c r="AI22" s="20">
        <f t="shared" ref="AI22" si="6">AG22-AH22</f>
        <v>1</v>
      </c>
      <c r="AJ22" s="20">
        <f>SUM(AG22,C22,H22,M22,R22,W22,AB22)</f>
        <v>46</v>
      </c>
      <c r="AK22" s="20" t="s">
        <v>1774</v>
      </c>
    </row>
    <row r="23" spans="1:37">
      <c r="AJ23">
        <f>SUM(C22,H22,M22,R22,W22,AB22)</f>
        <v>45</v>
      </c>
      <c r="AK23" t="s">
        <v>1797</v>
      </c>
    </row>
    <row r="24" spans="1:37">
      <c r="AJ24" s="113">
        <f>SUM(E22,J22,O22,T22,Y22,AD22)</f>
        <v>0</v>
      </c>
      <c r="AK24" s="113" t="s">
        <v>1798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A6F6-534E-440D-82F3-A0D43043BB79}">
  <dimension ref="A1:AO24"/>
  <sheetViews>
    <sheetView workbookViewId="0">
      <pane ySplit="1" topLeftCell="E10" activePane="bottomLeft" state="frozen"/>
      <selection pane="bottomLeft" activeCell="AL2" sqref="AL2:AL10"/>
    </sheetView>
  </sheetViews>
  <sheetFormatPr defaultRowHeight="15"/>
  <cols>
    <col min="2" max="2" width="10" customWidth="1"/>
    <col min="3" max="5" width="4.42578125" customWidth="1"/>
    <col min="7" max="7" width="10.140625" customWidth="1"/>
    <col min="8" max="10" width="5.28515625" customWidth="1"/>
    <col min="12" max="12" width="10.85546875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 ht="45.75">
      <c r="A1" s="20" t="s">
        <v>111</v>
      </c>
      <c r="C1" s="20" t="s">
        <v>1747</v>
      </c>
      <c r="D1" s="20" t="s">
        <v>1748</v>
      </c>
      <c r="E1" s="20" t="s">
        <v>1749</v>
      </c>
      <c r="F1" s="20" t="s">
        <v>162</v>
      </c>
      <c r="H1" s="20" t="s">
        <v>1747</v>
      </c>
      <c r="I1" s="20" t="s">
        <v>1748</v>
      </c>
      <c r="J1" s="20" t="s">
        <v>1749</v>
      </c>
      <c r="K1" s="20" t="s">
        <v>117</v>
      </c>
      <c r="M1" s="20" t="s">
        <v>1747</v>
      </c>
      <c r="N1" s="20" t="s">
        <v>1748</v>
      </c>
      <c r="O1" s="20" t="s">
        <v>1749</v>
      </c>
      <c r="P1" s="20" t="s">
        <v>188</v>
      </c>
      <c r="R1" s="20" t="s">
        <v>1747</v>
      </c>
      <c r="S1" s="20" t="s">
        <v>1748</v>
      </c>
      <c r="T1" s="20" t="s">
        <v>1749</v>
      </c>
      <c r="U1" s="20" t="s">
        <v>16</v>
      </c>
      <c r="W1" s="20" t="s">
        <v>1747</v>
      </c>
      <c r="X1" s="20" t="s">
        <v>1748</v>
      </c>
      <c r="Y1" s="20" t="s">
        <v>1749</v>
      </c>
      <c r="Z1" s="20" t="s">
        <v>122</v>
      </c>
      <c r="AB1" s="20" t="s">
        <v>1747</v>
      </c>
      <c r="AC1" s="20" t="s">
        <v>1748</v>
      </c>
      <c r="AD1" s="20" t="s">
        <v>1749</v>
      </c>
      <c r="AE1" s="20" t="s">
        <v>12</v>
      </c>
      <c r="AG1" s="20" t="s">
        <v>1747</v>
      </c>
      <c r="AH1" s="20" t="s">
        <v>1748</v>
      </c>
      <c r="AI1" s="20" t="s">
        <v>1749</v>
      </c>
      <c r="AL1" t="s">
        <v>1750</v>
      </c>
    </row>
    <row r="2" spans="1:41">
      <c r="A2" t="s">
        <v>116</v>
      </c>
      <c r="B2" t="s">
        <v>1751</v>
      </c>
      <c r="C2" cm="1">
        <f t="array" ref="C2">SUMPRODUCT(('ALL 498 CONSOLIDATED NEW'!$N$2:$N$503=A$1)*(A2='ALL 498 CONSOLIDATED NEW'!$K$2:$M$503)*(ISNUMBER(MATCH('ALL 498 CONSOLIDATED NEW'!$G$2:$G$503,Table17131411212433[SCHOOL LIST],0))))</f>
        <v>0</v>
      </c>
      <c r="D2">
        <v>0</v>
      </c>
      <c r="E2">
        <f>C2-D2</f>
        <v>0</v>
      </c>
      <c r="F2" t="s">
        <v>116</v>
      </c>
      <c r="G2" t="s">
        <v>1752</v>
      </c>
      <c r="H2" cm="1">
        <f t="array" ref="H2">SUMPRODUCT(('ALL 498 CONSOLIDATED NEW'!$N$2:$N$503=F$1)*(F2='ALL 498 CONSOLIDATED NEW'!$K$2:$M$503)*(ISNUMBER(MATCH('ALL 498 CONSOLIDATED NEW'!$G$2:$G$503,Table17131411212433[SCHOOL LIST],0))))</f>
        <v>0</v>
      </c>
      <c r="I2">
        <v>0</v>
      </c>
      <c r="J2">
        <f>H2-I2</f>
        <v>0</v>
      </c>
      <c r="K2" t="s">
        <v>116</v>
      </c>
      <c r="L2">
        <v>105101001</v>
      </c>
      <c r="M2" cm="1">
        <f t="array" ref="M2">SUMPRODUCT(('ALL 498 CONSOLIDATED NEW'!$N$2:$N$503=K$1)*(K2='ALL 498 CONSOLIDATED NEW'!$K$2:$M$503)*(ISNUMBER(MATCH('ALL 498 CONSOLIDATED NEW'!$G$2:$G$503,Table17131411212433[SCHOOL LIST],0))))</f>
        <v>1</v>
      </c>
      <c r="N2">
        <v>1</v>
      </c>
      <c r="O2">
        <f>M2-N2</f>
        <v>0</v>
      </c>
      <c r="P2" t="s">
        <v>186</v>
      </c>
      <c r="Q2">
        <v>302202001</v>
      </c>
      <c r="R2" cm="1">
        <f t="array" ref="R2">SUMPRODUCT(('ALL 498 CONSOLIDATED NEW'!$N$2:$N$503=P$1)*(P2='ALL 498 CONSOLIDATED NEW'!$K$2:$M$503)*(ISNUMBER(MATCH('ALL 498 CONSOLIDATED NEW'!$G$2:$G$503,Table17131411212433[SCHOOL LIST],0))))</f>
        <v>2</v>
      </c>
      <c r="S2">
        <v>2</v>
      </c>
      <c r="T2">
        <f>R2-S2</f>
        <v>0</v>
      </c>
      <c r="U2" t="s">
        <v>1313</v>
      </c>
      <c r="V2">
        <v>301201999</v>
      </c>
      <c r="W2" cm="1">
        <f t="array" ref="W2">SUMPRODUCT(('ALL 498 CONSOLIDATED NEW'!$N$2:$N$503=U$1)*(U2='ALL 498 CONSOLIDATED NEW'!$K$2:$M$503)*(ISNUMBER(MATCH('ALL 498 CONSOLIDATED NEW'!$G$2:$G$503,Table17131411212433[SCHOOL LIST],0))))</f>
        <v>4</v>
      </c>
      <c r="X2">
        <v>4</v>
      </c>
      <c r="Y2">
        <f>W2-X2</f>
        <v>0</v>
      </c>
      <c r="Z2" t="s">
        <v>1321</v>
      </c>
      <c r="AA2">
        <v>104104009</v>
      </c>
      <c r="AB2" cm="1">
        <f t="array" ref="AB2">SUMPRODUCT(('ALL 498 CONSOLIDATED NEW'!$N$2:$N$503=Z$1)*(Z2='ALL 498 CONSOLIDATED NEW'!$K$2:$M$503)*(ISNUMBER(MATCH('ALL 498 CONSOLIDATED NEW'!$G$2:$G$503,Table17131411212433[SCHOOL LIST],0))))</f>
        <v>1</v>
      </c>
      <c r="AC2">
        <v>1</v>
      </c>
      <c r="AD2">
        <f>AB2-AC2</f>
        <v>0</v>
      </c>
      <c r="AE2" t="s">
        <v>1365</v>
      </c>
      <c r="AF2">
        <v>204301999</v>
      </c>
      <c r="AG2" cm="1">
        <f t="array" ref="AG2">SUMPRODUCT(('ALL 498 CONSOLIDATED NEW'!$N$2:$N$503=AE$1)*(AE2='ALL 498 CONSOLIDATED NEW'!$K$2:$M$503)*(ISNUMBER(MATCH('ALL 498 CONSOLIDATED NEW'!$G$2:$G$503,Table17131411212433[SCHOOL LIST],0))))</f>
        <v>8</v>
      </c>
      <c r="AH2">
        <v>0</v>
      </c>
      <c r="AI2">
        <f>AG2-AH2</f>
        <v>8</v>
      </c>
      <c r="AL2" s="56" t="s">
        <v>545</v>
      </c>
    </row>
    <row r="3" spans="1:41">
      <c r="A3" t="s">
        <v>1753</v>
      </c>
      <c r="B3" t="s">
        <v>1754</v>
      </c>
      <c r="C3" cm="1">
        <f t="array" ref="C3">SUMPRODUCT(('ALL 498 CONSOLIDATED NEW'!$N$2:$N$503=A$1)*(A3='ALL 498 CONSOLIDATED NEW'!$K$2:$M$503)*(ISNUMBER(MATCH('ALL 498 CONSOLIDATED NEW'!$G$2:$G$503,Table17131411212433[SCHOOL LIST],0))))</f>
        <v>0</v>
      </c>
      <c r="D3">
        <v>0</v>
      </c>
      <c r="E3">
        <f t="shared" ref="E3:E22" si="0">C3-D3</f>
        <v>0</v>
      </c>
      <c r="F3" t="s">
        <v>1753</v>
      </c>
      <c r="G3" t="s">
        <v>1755</v>
      </c>
      <c r="H3" cm="1">
        <f t="array" ref="H3">SUMPRODUCT(('ALL 498 CONSOLIDATED NEW'!$N$2:$N$503=F$1)*(F3='ALL 498 CONSOLIDATED NEW'!$K$2:$M$503)*(ISNUMBER(MATCH('ALL 498 CONSOLIDATED NEW'!$G$2:$G$503,Table17131411212433[SCHOOL LIST],0))))</f>
        <v>0</v>
      </c>
      <c r="I3">
        <v>0</v>
      </c>
      <c r="J3">
        <f t="shared" ref="J3:J22" si="1">H3-I3</f>
        <v>0</v>
      </c>
      <c r="K3" t="s">
        <v>1753</v>
      </c>
      <c r="L3">
        <v>105101002</v>
      </c>
      <c r="M3" cm="1">
        <f t="array" ref="M3">SUMPRODUCT(('ALL 498 CONSOLIDATED NEW'!$N$2:$N$503=K$1)*(K3='ALL 498 CONSOLIDATED NEW'!$K$2:$M$503)*(ISNUMBER(MATCH('ALL 498 CONSOLIDATED NEW'!$G$2:$G$503,Table17131411212433[SCHOOL LIST],0))))</f>
        <v>0</v>
      </c>
      <c r="N3">
        <v>0</v>
      </c>
      <c r="O3">
        <f t="shared" ref="O3:O22" si="2">M3-N3</f>
        <v>0</v>
      </c>
      <c r="P3" t="s">
        <v>187</v>
      </c>
      <c r="Q3" t="s">
        <v>1756</v>
      </c>
      <c r="R3" cm="1">
        <f t="array" ref="R3">SUMPRODUCT(('ALL 498 CONSOLIDATED NEW'!$N$2:$N$503=P$1)*(P3='ALL 498 CONSOLIDATED NEW'!$K$2:$M$503)*(ISNUMBER(MATCH('ALL 498 CONSOLIDATED NEW'!$G$2:$G$503,Table17131411212433[SCHOOL LIST],0))))</f>
        <v>2</v>
      </c>
      <c r="S3">
        <v>2</v>
      </c>
      <c r="T3">
        <f>R3-S3</f>
        <v>0</v>
      </c>
      <c r="AL3" s="56" t="s">
        <v>524</v>
      </c>
      <c r="AM3" t="s">
        <v>1291</v>
      </c>
      <c r="AN3" t="s">
        <v>1304</v>
      </c>
      <c r="AO3" t="s">
        <v>1293</v>
      </c>
    </row>
    <row r="4" spans="1:41">
      <c r="A4" t="s">
        <v>109</v>
      </c>
      <c r="B4" t="s">
        <v>1757</v>
      </c>
      <c r="C4" cm="1">
        <f t="array" ref="C4">SUMPRODUCT(('ALL 498 CONSOLIDATED NEW'!$N$2:$N$503=A$1)*(A4='ALL 498 CONSOLIDATED NEW'!$K$2:$M$503)*(ISNUMBER(MATCH('ALL 498 CONSOLIDATED NEW'!$G$2:$G$503,Table17131411212433[SCHOOL LIST],0))))</f>
        <v>2</v>
      </c>
      <c r="D4">
        <v>2</v>
      </c>
      <c r="E4">
        <f t="shared" si="0"/>
        <v>0</v>
      </c>
      <c r="F4" t="s">
        <v>109</v>
      </c>
      <c r="G4" t="s">
        <v>1758</v>
      </c>
      <c r="H4" cm="1">
        <f t="array" ref="H4">SUMPRODUCT(('ALL 498 CONSOLIDATED NEW'!$N$2:$N$503=F$1)*(F4='ALL 498 CONSOLIDATED NEW'!$K$2:$M$503)*(ISNUMBER(MATCH('ALL 498 CONSOLIDATED NEW'!$G$2:$G$503,Table17131411212433[SCHOOL LIST],0))))</f>
        <v>0</v>
      </c>
      <c r="I4">
        <v>0</v>
      </c>
      <c r="J4">
        <f t="shared" si="1"/>
        <v>0</v>
      </c>
      <c r="K4" t="s">
        <v>109</v>
      </c>
      <c r="L4">
        <v>105101003</v>
      </c>
      <c r="M4" cm="1">
        <f t="array" ref="M4">SUMPRODUCT(('ALL 498 CONSOLIDATED NEW'!$N$2:$N$503=K$1)*(K4='ALL 498 CONSOLIDATED NEW'!$K$2:$M$503)*(ISNUMBER(MATCH('ALL 498 CONSOLIDATED NEW'!$G$2:$G$503,Table17131411212433[SCHOOL LIST],0))))</f>
        <v>1</v>
      </c>
      <c r="N4">
        <v>1</v>
      </c>
      <c r="O4">
        <f t="shared" si="2"/>
        <v>0</v>
      </c>
      <c r="AL4" s="56" t="s">
        <v>59</v>
      </c>
      <c r="AM4">
        <v>1</v>
      </c>
      <c r="AN4" t="s">
        <v>111</v>
      </c>
      <c r="AO4">
        <f>C22/3</f>
        <v>7</v>
      </c>
    </row>
    <row r="5" spans="1:41">
      <c r="A5" t="s">
        <v>1759</v>
      </c>
      <c r="B5" t="s">
        <v>1760</v>
      </c>
      <c r="C5" cm="1">
        <f t="array" ref="C5">SUMPRODUCT(('ALL 498 CONSOLIDATED NEW'!$N$2:$N$503=A$1)*(A5='ALL 498 CONSOLIDATED NEW'!$K$2:$M$503)*(ISNUMBER(MATCH('ALL 498 CONSOLIDATED NEW'!$G$2:$G$503,Table17131411212433[SCHOOL LIST],0))))</f>
        <v>0</v>
      </c>
      <c r="D5">
        <v>0</v>
      </c>
      <c r="E5">
        <f t="shared" si="0"/>
        <v>0</v>
      </c>
      <c r="F5" t="s">
        <v>1759</v>
      </c>
      <c r="G5" t="s">
        <v>1761</v>
      </c>
      <c r="H5" cm="1">
        <f t="array" ref="H5">SUMPRODUCT(('ALL 498 CONSOLIDATED NEW'!$N$2:$N$503=F$1)*(F5='ALL 498 CONSOLIDATED NEW'!$K$2:$M$503)*(ISNUMBER(MATCH('ALL 498 CONSOLIDATED NEW'!$G$2:$G$503,Table17131411212433[SCHOOL LIST],0))))</f>
        <v>0</v>
      </c>
      <c r="I5">
        <v>0</v>
      </c>
      <c r="J5">
        <f t="shared" si="1"/>
        <v>0</v>
      </c>
      <c r="K5" t="s">
        <v>1759</v>
      </c>
      <c r="L5">
        <v>105101004</v>
      </c>
      <c r="M5" cm="1">
        <f t="array" ref="M5">SUMPRODUCT(('ALL 498 CONSOLIDATED NEW'!$N$2:$N$503=K$1)*(K5='ALL 498 CONSOLIDATED NEW'!$K$2:$M$503)*(ISNUMBER(MATCH('ALL 498 CONSOLIDATED NEW'!$G$2:$G$503,Table17131411212433[SCHOOL LIST],0))))</f>
        <v>0</v>
      </c>
      <c r="N5">
        <v>0</v>
      </c>
      <c r="O5">
        <f t="shared" si="2"/>
        <v>0</v>
      </c>
      <c r="AL5" s="56" t="s">
        <v>49</v>
      </c>
      <c r="AM5">
        <v>2</v>
      </c>
      <c r="AN5" t="s">
        <v>162</v>
      </c>
      <c r="AO5">
        <f>H22/3</f>
        <v>2</v>
      </c>
    </row>
    <row r="6" spans="1:41">
      <c r="A6" t="s">
        <v>130</v>
      </c>
      <c r="B6" t="s">
        <v>1762</v>
      </c>
      <c r="C6" cm="1">
        <f t="array" ref="C6">SUMPRODUCT(('ALL 498 CONSOLIDATED NEW'!$N$2:$N$503=A$1)*(A6='ALL 498 CONSOLIDATED NEW'!$K$2:$M$503)*(ISNUMBER(MATCH('ALL 498 CONSOLIDATED NEW'!$G$2:$G$503,Table17131411212433[SCHOOL LIST],0))))</f>
        <v>2</v>
      </c>
      <c r="D6">
        <v>2</v>
      </c>
      <c r="E6">
        <f t="shared" si="0"/>
        <v>0</v>
      </c>
      <c r="F6" t="s">
        <v>130</v>
      </c>
      <c r="G6" t="s">
        <v>1763</v>
      </c>
      <c r="H6" cm="1">
        <f t="array" ref="H6">SUMPRODUCT(('ALL 498 CONSOLIDATED NEW'!$N$2:$N$503=F$1)*(F6='ALL 498 CONSOLIDATED NEW'!$K$2:$M$503)*(ISNUMBER(MATCH('ALL 498 CONSOLIDATED NEW'!$G$2:$G$503,Table17131411212433[SCHOOL LIST],0))))</f>
        <v>2</v>
      </c>
      <c r="I6">
        <v>2</v>
      </c>
      <c r="J6">
        <f t="shared" si="1"/>
        <v>0</v>
      </c>
      <c r="K6" t="s">
        <v>130</v>
      </c>
      <c r="L6">
        <v>105101005</v>
      </c>
      <c r="M6" cm="1">
        <f t="array" ref="M6">SUMPRODUCT(('ALL 498 CONSOLIDATED NEW'!$N$2:$N$503=K$1)*(K6='ALL 498 CONSOLIDATED NEW'!$K$2:$M$503)*(ISNUMBER(MATCH('ALL 498 CONSOLIDATED NEW'!$G$2:$G$503,Table17131411212433[SCHOOL LIST],0))))</f>
        <v>3</v>
      </c>
      <c r="N6">
        <v>3</v>
      </c>
      <c r="O6">
        <f t="shared" si="2"/>
        <v>0</v>
      </c>
      <c r="AL6" s="56" t="s">
        <v>407</v>
      </c>
      <c r="AM6">
        <v>3</v>
      </c>
      <c r="AN6" t="s">
        <v>117</v>
      </c>
      <c r="AO6">
        <f>M22/3</f>
        <v>10</v>
      </c>
    </row>
    <row r="7" spans="1:41">
      <c r="A7" t="s">
        <v>443</v>
      </c>
      <c r="B7" t="s">
        <v>1764</v>
      </c>
      <c r="C7" cm="1">
        <f t="array" ref="C7">SUMPRODUCT(('ALL 498 CONSOLIDATED NEW'!$N$2:$N$503=A$1)*(A7='ALL 498 CONSOLIDATED NEW'!$K$2:$M$503)*(ISNUMBER(MATCH('ALL 498 CONSOLIDATED NEW'!$G$2:$G$503,Table17131411212433[SCHOOL LIST],0))))</f>
        <v>0</v>
      </c>
      <c r="D7">
        <v>0</v>
      </c>
      <c r="E7">
        <f t="shared" si="0"/>
        <v>0</v>
      </c>
      <c r="F7" t="s">
        <v>443</v>
      </c>
      <c r="G7" t="s">
        <v>1765</v>
      </c>
      <c r="H7" cm="1">
        <f t="array" ref="H7">SUMPRODUCT(('ALL 498 CONSOLIDATED NEW'!$N$2:$N$503=F$1)*(F7='ALL 498 CONSOLIDATED NEW'!$K$2:$M$503)*(ISNUMBER(MATCH('ALL 498 CONSOLIDATED NEW'!$G$2:$G$503,Table17131411212433[SCHOOL LIST],0))))</f>
        <v>0</v>
      </c>
      <c r="I7">
        <v>0</v>
      </c>
      <c r="J7">
        <f t="shared" si="1"/>
        <v>0</v>
      </c>
      <c r="K7" t="s">
        <v>443</v>
      </c>
      <c r="L7">
        <v>105101006</v>
      </c>
      <c r="M7" cm="1">
        <f t="array" ref="M7">SUMPRODUCT(('ALL 498 CONSOLIDATED NEW'!$N$2:$N$503=K$1)*(K7='ALL 498 CONSOLIDATED NEW'!$K$2:$M$503)*(ISNUMBER(MATCH('ALL 498 CONSOLIDATED NEW'!$G$2:$G$503,Table17131411212433[SCHOOL LIST],0))))</f>
        <v>2</v>
      </c>
      <c r="N7">
        <v>2</v>
      </c>
      <c r="O7">
        <f t="shared" si="2"/>
        <v>0</v>
      </c>
      <c r="AL7" s="56" t="s">
        <v>54</v>
      </c>
      <c r="AM7">
        <v>4</v>
      </c>
      <c r="AN7" t="s">
        <v>188</v>
      </c>
      <c r="AO7">
        <f>R22/2</f>
        <v>2</v>
      </c>
    </row>
    <row r="8" spans="1:41">
      <c r="A8" t="s">
        <v>110</v>
      </c>
      <c r="B8" t="s">
        <v>1766</v>
      </c>
      <c r="C8" cm="1">
        <f t="array" ref="C8">SUMPRODUCT(('ALL 498 CONSOLIDATED NEW'!$N$2:$N$503=A$1)*(A8='ALL 498 CONSOLIDATED NEW'!$K$2:$M$503)*(ISNUMBER(MATCH('ALL 498 CONSOLIDATED NEW'!$G$2:$G$503,Table17131411212433[SCHOOL LIST],0))))</f>
        <v>4</v>
      </c>
      <c r="D8">
        <v>4</v>
      </c>
      <c r="E8">
        <f t="shared" si="0"/>
        <v>0</v>
      </c>
      <c r="F8" t="s">
        <v>110</v>
      </c>
      <c r="G8" t="s">
        <v>1767</v>
      </c>
      <c r="H8" cm="1">
        <f t="array" ref="H8">SUMPRODUCT(('ALL 498 CONSOLIDATED NEW'!$N$2:$N$503=F$1)*(F8='ALL 498 CONSOLIDATED NEW'!$K$2:$M$503)*(ISNUMBER(MATCH('ALL 498 CONSOLIDATED NEW'!$G$2:$G$503,Table17131411212433[SCHOOL LIST],0))))</f>
        <v>2</v>
      </c>
      <c r="I8">
        <v>2</v>
      </c>
      <c r="J8">
        <f t="shared" si="1"/>
        <v>0</v>
      </c>
      <c r="K8" t="s">
        <v>110</v>
      </c>
      <c r="L8">
        <v>105101007</v>
      </c>
      <c r="M8" cm="1">
        <f t="array" ref="M8">SUMPRODUCT(('ALL 498 CONSOLIDATED NEW'!$N$2:$N$503=K$1)*(K8='ALL 498 CONSOLIDATED NEW'!$K$2:$M$503)*(ISNUMBER(MATCH('ALL 498 CONSOLIDATED NEW'!$G$2:$G$503,Table17131411212433[SCHOOL LIST],0))))</f>
        <v>6</v>
      </c>
      <c r="N8">
        <v>6</v>
      </c>
      <c r="O8">
        <f t="shared" si="2"/>
        <v>0</v>
      </c>
      <c r="AL8" s="56" t="s">
        <v>437</v>
      </c>
      <c r="AM8">
        <v>5</v>
      </c>
      <c r="AN8" t="s">
        <v>16</v>
      </c>
      <c r="AO8">
        <f>W22/2</f>
        <v>2</v>
      </c>
    </row>
    <row r="9" spans="1:41">
      <c r="A9" t="s">
        <v>108</v>
      </c>
      <c r="B9" t="s">
        <v>1768</v>
      </c>
      <c r="C9" cm="1">
        <f t="array" ref="C9">SUMPRODUCT(('ALL 498 CONSOLIDATED NEW'!$N$2:$N$503=A$1)*(A9='ALL 498 CONSOLIDATED NEW'!$K$2:$M$503)*(ISNUMBER(MATCH('ALL 498 CONSOLIDATED NEW'!$G$2:$G$503,Table17131411212433[SCHOOL LIST],0))))</f>
        <v>5</v>
      </c>
      <c r="D9">
        <v>5</v>
      </c>
      <c r="E9">
        <f t="shared" si="0"/>
        <v>0</v>
      </c>
      <c r="F9" t="s">
        <v>108</v>
      </c>
      <c r="G9" t="s">
        <v>1769</v>
      </c>
      <c r="H9" cm="1">
        <f t="array" ref="H9">SUMPRODUCT(('ALL 498 CONSOLIDATED NEW'!$N$2:$N$503=F$1)*(F9='ALL 498 CONSOLIDATED NEW'!$K$2:$M$503)*(ISNUMBER(MATCH('ALL 498 CONSOLIDATED NEW'!$G$2:$G$503,Table17131411212433[SCHOOL LIST],0))))</f>
        <v>2</v>
      </c>
      <c r="I9">
        <v>2</v>
      </c>
      <c r="J9">
        <f t="shared" si="1"/>
        <v>0</v>
      </c>
      <c r="K9" t="s">
        <v>108</v>
      </c>
      <c r="L9">
        <v>105101008</v>
      </c>
      <c r="M9" cm="1">
        <f t="array" ref="M9">SUMPRODUCT(('ALL 498 CONSOLIDATED NEW'!$N$2:$N$503=K$1)*(K9='ALL 498 CONSOLIDATED NEW'!$K$2:$M$503)*(ISNUMBER(MATCH('ALL 498 CONSOLIDATED NEW'!$G$2:$G$503,Table17131411212433[SCHOOL LIST],0))))</f>
        <v>6</v>
      </c>
      <c r="N9">
        <v>6</v>
      </c>
      <c r="O9">
        <f t="shared" si="2"/>
        <v>0</v>
      </c>
      <c r="AL9" s="56" t="s">
        <v>48</v>
      </c>
      <c r="AM9">
        <v>6</v>
      </c>
      <c r="AN9" t="s">
        <v>122</v>
      </c>
      <c r="AO9">
        <f>AB22</f>
        <v>1</v>
      </c>
    </row>
    <row r="10" spans="1:41">
      <c r="A10" t="s">
        <v>250</v>
      </c>
      <c r="B10" t="s">
        <v>1770</v>
      </c>
      <c r="C10" cm="1">
        <f t="array" ref="C10">SUMPRODUCT(('ALL 498 CONSOLIDATED NEW'!$N$2:$N$503=A$1)*(A10='ALL 498 CONSOLIDATED NEW'!$K$2:$M$503)*(ISNUMBER(MATCH('ALL 498 CONSOLIDATED NEW'!$G$2:$G$503,Table17131411212433[SCHOOL LIST],0))))</f>
        <v>0</v>
      </c>
      <c r="D10">
        <v>0</v>
      </c>
      <c r="E10">
        <f t="shared" si="0"/>
        <v>0</v>
      </c>
      <c r="F10" t="s">
        <v>250</v>
      </c>
      <c r="G10" t="s">
        <v>1771</v>
      </c>
      <c r="H10" cm="1">
        <f t="array" ref="H10">SUMPRODUCT(('ALL 498 CONSOLIDATED NEW'!$N$2:$N$503=F$1)*(F10='ALL 498 CONSOLIDATED NEW'!$K$2:$M$503)*(ISNUMBER(MATCH('ALL 498 CONSOLIDATED NEW'!$G$2:$G$503,Table17131411212433[SCHOOL LIST],0))))</f>
        <v>0</v>
      </c>
      <c r="I10">
        <v>0</v>
      </c>
      <c r="J10">
        <f t="shared" si="1"/>
        <v>0</v>
      </c>
      <c r="K10" t="s">
        <v>250</v>
      </c>
      <c r="L10">
        <v>105101009</v>
      </c>
      <c r="M10" cm="1">
        <f t="array" ref="M10">SUMPRODUCT(('ALL 498 CONSOLIDATED NEW'!$N$2:$N$503=K$1)*(K10='ALL 498 CONSOLIDATED NEW'!$K$2:$M$503)*(ISNUMBER(MATCH('ALL 498 CONSOLIDATED NEW'!$G$2:$G$503,Table17131411212433[SCHOOL LIST],0))))</f>
        <v>2</v>
      </c>
      <c r="N10">
        <v>2</v>
      </c>
      <c r="O10">
        <f t="shared" si="2"/>
        <v>0</v>
      </c>
      <c r="AL10" s="56" t="s">
        <v>44</v>
      </c>
      <c r="AM10">
        <v>7</v>
      </c>
      <c r="AN10" t="s">
        <v>12</v>
      </c>
      <c r="AO10">
        <f>AG22</f>
        <v>8</v>
      </c>
    </row>
    <row r="11" spans="1:41">
      <c r="A11" t="s">
        <v>135</v>
      </c>
      <c r="B11" t="s">
        <v>1772</v>
      </c>
      <c r="C11" cm="1">
        <f t="array" ref="C11">SUMPRODUCT(('ALL 498 CONSOLIDATED NEW'!$N$2:$N$503=A$1)*(A11='ALL 498 CONSOLIDATED NEW'!$K$2:$M$503)*(ISNUMBER(MATCH('ALL 498 CONSOLIDATED NEW'!$G$2:$G$503,Table17131411212433[SCHOOL LIST],0))))</f>
        <v>3</v>
      </c>
      <c r="D11">
        <v>3</v>
      </c>
      <c r="E11">
        <f t="shared" si="0"/>
        <v>0</v>
      </c>
      <c r="F11" t="s">
        <v>135</v>
      </c>
      <c r="G11" t="s">
        <v>1773</v>
      </c>
      <c r="H11" cm="1">
        <f t="array" ref="H11">SUMPRODUCT(('ALL 498 CONSOLIDATED NEW'!$N$2:$N$503=F$1)*(F11='ALL 498 CONSOLIDATED NEW'!$K$2:$M$503)*(ISNUMBER(MATCH('ALL 498 CONSOLIDATED NEW'!$G$2:$G$503,Table17131411212433[SCHOOL LIST],0))))</f>
        <v>0</v>
      </c>
      <c r="I11">
        <v>0</v>
      </c>
      <c r="J11">
        <f t="shared" si="1"/>
        <v>0</v>
      </c>
      <c r="K11" t="s">
        <v>135</v>
      </c>
      <c r="L11">
        <v>105101010</v>
      </c>
      <c r="M11" cm="1">
        <f t="array" ref="M11">SUMPRODUCT(('ALL 498 CONSOLIDATED NEW'!$N$2:$N$503=K$1)*(K11='ALL 498 CONSOLIDATED NEW'!$K$2:$M$503)*(ISNUMBER(MATCH('ALL 498 CONSOLIDATED NEW'!$G$2:$G$503,Table17131411212433[SCHOOL LIST],0))))</f>
        <v>4</v>
      </c>
      <c r="N11">
        <v>4</v>
      </c>
      <c r="O11">
        <f t="shared" si="2"/>
        <v>0</v>
      </c>
      <c r="AL11" s="56"/>
      <c r="AN11" s="99" t="s">
        <v>1774</v>
      </c>
      <c r="AO11">
        <f>SUM(AO4:AO10)</f>
        <v>32</v>
      </c>
    </row>
    <row r="12" spans="1:41">
      <c r="A12" t="s">
        <v>150</v>
      </c>
      <c r="B12" t="s">
        <v>1775</v>
      </c>
      <c r="C12" cm="1">
        <f t="array" ref="C12">SUMPRODUCT(('ALL 498 CONSOLIDATED NEW'!$N$2:$N$503=A$1)*(A12='ALL 498 CONSOLIDATED NEW'!$K$2:$M$503)*(ISNUMBER(MATCH('ALL 498 CONSOLIDATED NEW'!$G$2:$G$503,Table17131411212433[SCHOOL LIST],0))))</f>
        <v>2</v>
      </c>
      <c r="D12">
        <v>2</v>
      </c>
      <c r="E12">
        <f t="shared" si="0"/>
        <v>0</v>
      </c>
      <c r="F12" t="s">
        <v>150</v>
      </c>
      <c r="G12" t="s">
        <v>1776</v>
      </c>
      <c r="H12" cm="1">
        <f t="array" ref="H12">SUMPRODUCT(('ALL 498 CONSOLIDATED NEW'!$N$2:$N$503=F$1)*(F12='ALL 498 CONSOLIDATED NEW'!$K$2:$M$503)*(ISNUMBER(MATCH('ALL 498 CONSOLIDATED NEW'!$G$2:$G$503,Table17131411212433[SCHOOL LIST],0))))</f>
        <v>0</v>
      </c>
      <c r="I12">
        <v>0</v>
      </c>
      <c r="J12">
        <f t="shared" si="1"/>
        <v>0</v>
      </c>
      <c r="K12" t="s">
        <v>150</v>
      </c>
      <c r="L12">
        <v>105101011</v>
      </c>
      <c r="M12" cm="1">
        <f t="array" ref="M12">SUMPRODUCT(('ALL 498 CONSOLIDATED NEW'!$N$2:$N$503=K$1)*(K12='ALL 498 CONSOLIDATED NEW'!$K$2:$M$503)*(ISNUMBER(MATCH('ALL 498 CONSOLIDATED NEW'!$G$2:$G$503,Table17131411212433[SCHOOL LIST],0))))</f>
        <v>1</v>
      </c>
      <c r="N12">
        <v>1</v>
      </c>
      <c r="O12">
        <f t="shared" si="2"/>
        <v>0</v>
      </c>
      <c r="AL12" s="56"/>
      <c r="AN12" s="99" t="s">
        <v>1777</v>
      </c>
      <c r="AO12">
        <f>SUM(AO4:AO9)</f>
        <v>24</v>
      </c>
    </row>
    <row r="13" spans="1:41">
      <c r="A13" t="s">
        <v>846</v>
      </c>
      <c r="B13" t="s">
        <v>1778</v>
      </c>
      <c r="C13" cm="1">
        <f t="array" ref="C13">SUMPRODUCT(('ALL 498 CONSOLIDATED NEW'!$N$2:$N$503=A$1)*(A13='ALL 498 CONSOLIDATED NEW'!$K$2:$M$503)*(ISNUMBER(MATCH('ALL 498 CONSOLIDATED NEW'!$G$2:$G$503,Table17131411212433[SCHOOL LIST],0))))</f>
        <v>0</v>
      </c>
      <c r="D13">
        <v>0</v>
      </c>
      <c r="E13">
        <f t="shared" si="0"/>
        <v>0</v>
      </c>
      <c r="F13" t="s">
        <v>846</v>
      </c>
      <c r="G13" t="s">
        <v>1779</v>
      </c>
      <c r="H13" cm="1">
        <f t="array" ref="H13">SUMPRODUCT(('ALL 498 CONSOLIDATED NEW'!$N$2:$N$503=F$1)*(F13='ALL 498 CONSOLIDATED NEW'!$K$2:$M$503)*(ISNUMBER(MATCH('ALL 498 CONSOLIDATED NEW'!$G$2:$G$503,Table17131411212433[SCHOOL LIST],0))))</f>
        <v>0</v>
      </c>
      <c r="I13">
        <v>0</v>
      </c>
      <c r="J13">
        <f t="shared" si="1"/>
        <v>0</v>
      </c>
      <c r="K13" t="s">
        <v>846</v>
      </c>
      <c r="L13">
        <v>105101012</v>
      </c>
      <c r="M13" cm="1">
        <f t="array" ref="M13">SUMPRODUCT(('ALL 498 CONSOLIDATED NEW'!$N$2:$N$503=K$1)*(K13='ALL 498 CONSOLIDATED NEW'!$K$2:$M$503)*(ISNUMBER(MATCH('ALL 498 CONSOLIDATED NEW'!$G$2:$G$503,Table17131411212433[SCHOOL LIST],0))))</f>
        <v>0</v>
      </c>
      <c r="N13">
        <v>0</v>
      </c>
      <c r="O13">
        <f t="shared" si="2"/>
        <v>0</v>
      </c>
      <c r="AL13" s="98"/>
    </row>
    <row r="14" spans="1:41">
      <c r="A14" t="s">
        <v>251</v>
      </c>
      <c r="B14" t="s">
        <v>1780</v>
      </c>
      <c r="C14" cm="1">
        <f t="array" ref="C14">SUMPRODUCT(('ALL 498 CONSOLIDATED NEW'!$N$2:$N$503=A$1)*(A14='ALL 498 CONSOLIDATED NEW'!$K$2:$M$503)*(ISNUMBER(MATCH('ALL 498 CONSOLIDATED NEW'!$G$2:$G$503,Table17131411212433[SCHOOL LIST],0))))</f>
        <v>0</v>
      </c>
      <c r="D14">
        <v>0</v>
      </c>
      <c r="E14">
        <f t="shared" si="0"/>
        <v>0</v>
      </c>
      <c r="F14" t="s">
        <v>251</v>
      </c>
      <c r="G14" t="s">
        <v>1781</v>
      </c>
      <c r="H14" cm="1">
        <f t="array" ref="H14">SUMPRODUCT(('ALL 498 CONSOLIDATED NEW'!$N$2:$N$503=F$1)*(F14='ALL 498 CONSOLIDATED NEW'!$K$2:$M$503)*(ISNUMBER(MATCH('ALL 498 CONSOLIDATED NEW'!$G$2:$G$503,Table17131411212433[SCHOOL LIST],0))))</f>
        <v>0</v>
      </c>
      <c r="I14">
        <v>0</v>
      </c>
      <c r="J14">
        <f t="shared" si="1"/>
        <v>0</v>
      </c>
      <c r="K14" t="s">
        <v>251</v>
      </c>
      <c r="L14">
        <v>105101013</v>
      </c>
      <c r="M14" cm="1">
        <f t="array" ref="M14">SUMPRODUCT(('ALL 498 CONSOLIDATED NEW'!$N$2:$N$503=K$1)*(K14='ALL 498 CONSOLIDATED NEW'!$K$2:$M$503)*(ISNUMBER(MATCH('ALL 498 CONSOLIDATED NEW'!$G$2:$G$503,Table17131411212433[SCHOOL LIST],0))))</f>
        <v>0</v>
      </c>
      <c r="N14">
        <v>0</v>
      </c>
      <c r="O14">
        <f t="shared" si="2"/>
        <v>0</v>
      </c>
    </row>
    <row r="15" spans="1:41">
      <c r="A15" t="s">
        <v>136</v>
      </c>
      <c r="B15" t="s">
        <v>1782</v>
      </c>
      <c r="C15" cm="1">
        <f t="array" ref="C15">SUMPRODUCT(('ALL 498 CONSOLIDATED NEW'!$N$2:$N$503=A$1)*(A15='ALL 498 CONSOLIDATED NEW'!$K$2:$M$503)*(ISNUMBER(MATCH('ALL 498 CONSOLIDATED NEW'!$G$2:$G$503,Table17131411212433[SCHOOL LIST],0))))</f>
        <v>3</v>
      </c>
      <c r="D15">
        <v>3</v>
      </c>
      <c r="E15">
        <f t="shared" si="0"/>
        <v>0</v>
      </c>
      <c r="F15" t="s">
        <v>136</v>
      </c>
      <c r="G15" t="s">
        <v>1783</v>
      </c>
      <c r="H15" cm="1">
        <f t="array" ref="H15">SUMPRODUCT(('ALL 498 CONSOLIDATED NEW'!$N$2:$N$503=F$1)*(F15='ALL 498 CONSOLIDATED NEW'!$K$2:$M$503)*(ISNUMBER(MATCH('ALL 498 CONSOLIDATED NEW'!$G$2:$G$503,Table17131411212433[SCHOOL LIST],0))))</f>
        <v>0</v>
      </c>
      <c r="I15">
        <v>0</v>
      </c>
      <c r="J15">
        <f t="shared" si="1"/>
        <v>0</v>
      </c>
      <c r="K15" t="s">
        <v>136</v>
      </c>
      <c r="L15">
        <v>105101014</v>
      </c>
      <c r="M15" cm="1">
        <f t="array" ref="M15">SUMPRODUCT(('ALL 498 CONSOLIDATED NEW'!$N$2:$N$503=K$1)*(K15='ALL 498 CONSOLIDATED NEW'!$K$2:$M$503)*(ISNUMBER(MATCH('ALL 498 CONSOLIDATED NEW'!$G$2:$G$503,Table17131411212433[SCHOOL LIST],0))))</f>
        <v>4</v>
      </c>
      <c r="N15">
        <v>4</v>
      </c>
      <c r="O15">
        <f t="shared" si="2"/>
        <v>0</v>
      </c>
    </row>
    <row r="16" spans="1:41">
      <c r="A16" t="s">
        <v>198</v>
      </c>
      <c r="B16" t="s">
        <v>1784</v>
      </c>
      <c r="C16" cm="1">
        <f t="array" ref="C16">SUMPRODUCT(('ALL 498 CONSOLIDATED NEW'!$N$2:$N$503=A$1)*(A16='ALL 498 CONSOLIDATED NEW'!$K$2:$M$503)*(ISNUMBER(MATCH('ALL 498 CONSOLIDATED NEW'!$G$2:$G$503,Table17131411212433[SCHOOL LIST],0))))</f>
        <v>0</v>
      </c>
      <c r="D16">
        <v>0</v>
      </c>
      <c r="E16">
        <f t="shared" si="0"/>
        <v>0</v>
      </c>
      <c r="F16" t="s">
        <v>198</v>
      </c>
      <c r="G16" t="s">
        <v>1785</v>
      </c>
      <c r="H16" cm="1">
        <f t="array" ref="H16">SUMPRODUCT(('ALL 498 CONSOLIDATED NEW'!$N$2:$N$503=F$1)*(F16='ALL 498 CONSOLIDATED NEW'!$K$2:$M$503)*(ISNUMBER(MATCH('ALL 498 CONSOLIDATED NEW'!$G$2:$G$503,Table17131411212433[SCHOOL LIST],0))))</f>
        <v>0</v>
      </c>
      <c r="I16">
        <v>0</v>
      </c>
      <c r="J16">
        <f t="shared" si="1"/>
        <v>0</v>
      </c>
      <c r="K16" t="s">
        <v>198</v>
      </c>
      <c r="L16">
        <v>105101015</v>
      </c>
      <c r="M16" cm="1">
        <f t="array" ref="M16">SUMPRODUCT(('ALL 498 CONSOLIDATED NEW'!$N$2:$N$503=K$1)*(K16='ALL 498 CONSOLIDATED NEW'!$K$2:$M$503)*(ISNUMBER(MATCH('ALL 498 CONSOLIDATED NEW'!$G$2:$G$503,Table17131411212433[SCHOOL LIST],0))))</f>
        <v>0</v>
      </c>
      <c r="N16">
        <v>0</v>
      </c>
      <c r="O16">
        <f t="shared" si="2"/>
        <v>0</v>
      </c>
    </row>
    <row r="17" spans="1:37">
      <c r="A17" t="s">
        <v>200</v>
      </c>
      <c r="B17" t="s">
        <v>1786</v>
      </c>
      <c r="C17" cm="1">
        <f t="array" ref="C17">SUMPRODUCT(('ALL 498 CONSOLIDATED NEW'!$N$2:$N$503=A$1)*(A17='ALL 498 CONSOLIDATED NEW'!$K$2:$M$503)*(ISNUMBER(MATCH('ALL 498 CONSOLIDATED NEW'!$G$2:$G$503,Table17131411212433[SCHOOL LIST],0))))</f>
        <v>0</v>
      </c>
      <c r="D17">
        <v>0</v>
      </c>
      <c r="E17">
        <f t="shared" si="0"/>
        <v>0</v>
      </c>
      <c r="F17" t="s">
        <v>200</v>
      </c>
      <c r="G17" t="s">
        <v>1787</v>
      </c>
      <c r="H17" cm="1">
        <f t="array" ref="H17">SUMPRODUCT(('ALL 498 CONSOLIDATED NEW'!$N$2:$N$503=F$1)*(F17='ALL 498 CONSOLIDATED NEW'!$K$2:$M$503)*(ISNUMBER(MATCH('ALL 498 CONSOLIDATED NEW'!$G$2:$G$503,Table17131411212433[SCHOOL LIST],0))))</f>
        <v>0</v>
      </c>
      <c r="I17">
        <v>0</v>
      </c>
      <c r="J17">
        <f t="shared" si="1"/>
        <v>0</v>
      </c>
      <c r="K17" t="s">
        <v>200</v>
      </c>
      <c r="L17">
        <v>105101016</v>
      </c>
      <c r="M17" cm="1">
        <f t="array" ref="M17">SUMPRODUCT(('ALL 498 CONSOLIDATED NEW'!$N$2:$N$503=K$1)*(K17='ALL 498 CONSOLIDATED NEW'!$K$2:$M$503)*(ISNUMBER(MATCH('ALL 498 CONSOLIDATED NEW'!$G$2:$G$503,Table17131411212433[SCHOOL LIST],0))))</f>
        <v>0</v>
      </c>
      <c r="N17">
        <v>0</v>
      </c>
      <c r="O17">
        <f t="shared" si="2"/>
        <v>0</v>
      </c>
    </row>
    <row r="18" spans="1:37">
      <c r="A18" t="s">
        <v>1788</v>
      </c>
      <c r="B18" t="s">
        <v>1789</v>
      </c>
      <c r="C18" cm="1">
        <f t="array" ref="C18">SUMPRODUCT(('ALL 498 CONSOLIDATED NEW'!$N$2:$N$503=A$1)*(A18='ALL 498 CONSOLIDATED NEW'!$K$2:$M$503)*(ISNUMBER(MATCH('ALL 498 CONSOLIDATED NEW'!$G$2:$G$503,Table17131411212433[SCHOOL LIST],0))))</f>
        <v>0</v>
      </c>
      <c r="D18">
        <v>0</v>
      </c>
      <c r="E18">
        <f t="shared" si="0"/>
        <v>0</v>
      </c>
      <c r="F18" t="s">
        <v>1788</v>
      </c>
      <c r="G18" t="s">
        <v>1790</v>
      </c>
      <c r="H18" cm="1">
        <f t="array" ref="H18">SUMPRODUCT(('ALL 498 CONSOLIDATED NEW'!$N$2:$N$503=F$1)*(F18='ALL 498 CONSOLIDATED NEW'!$K$2:$M$503)*(ISNUMBER(MATCH('ALL 498 CONSOLIDATED NEW'!$G$2:$G$503,Table17131411212433[SCHOOL LIST],0))))</f>
        <v>0</v>
      </c>
      <c r="I18">
        <v>0</v>
      </c>
      <c r="J18">
        <f t="shared" si="1"/>
        <v>0</v>
      </c>
      <c r="K18" t="s">
        <v>1788</v>
      </c>
      <c r="L18">
        <v>105101017</v>
      </c>
      <c r="M18" cm="1">
        <f t="array" ref="M18">SUMPRODUCT(('ALL 498 CONSOLIDATED NEW'!$N$2:$N$503=K$1)*(K18='ALL 498 CONSOLIDATED NEW'!$K$2:$M$503)*(ISNUMBER(MATCH('ALL 498 CONSOLIDATED NEW'!$G$2:$G$503,Table17131411212433[SCHOOL LIST],0))))</f>
        <v>0</v>
      </c>
      <c r="N18">
        <v>0</v>
      </c>
      <c r="O18">
        <f t="shared" si="2"/>
        <v>0</v>
      </c>
    </row>
    <row r="19" spans="1:37">
      <c r="A19" t="s">
        <v>315</v>
      </c>
      <c r="B19" t="s">
        <v>1791</v>
      </c>
      <c r="C19" cm="1">
        <f t="array" ref="C19">SUMPRODUCT(('ALL 498 CONSOLIDATED NEW'!$N$2:$N$503=A$1)*(A19='ALL 498 CONSOLIDATED NEW'!$K$2:$M$503)*(ISNUMBER(MATCH('ALL 498 CONSOLIDATED NEW'!$G$2:$G$503,Table17131411212433[SCHOOL LIST],0))))</f>
        <v>0</v>
      </c>
      <c r="D19">
        <v>0</v>
      </c>
      <c r="E19">
        <f t="shared" si="0"/>
        <v>0</v>
      </c>
      <c r="F19" t="s">
        <v>315</v>
      </c>
      <c r="G19" t="s">
        <v>1792</v>
      </c>
      <c r="H19" cm="1">
        <f t="array" ref="H19">SUMPRODUCT(('ALL 498 CONSOLIDATED NEW'!$N$2:$N$503=F$1)*(F19='ALL 498 CONSOLIDATED NEW'!$K$2:$M$503)*(ISNUMBER(MATCH('ALL 498 CONSOLIDATED NEW'!$G$2:$G$503,Table17131411212433[SCHOOL LIST],0))))</f>
        <v>0</v>
      </c>
      <c r="I19">
        <v>0</v>
      </c>
      <c r="J19">
        <f t="shared" si="1"/>
        <v>0</v>
      </c>
      <c r="K19" t="s">
        <v>315</v>
      </c>
      <c r="L19">
        <v>105101018</v>
      </c>
      <c r="M19" cm="1">
        <f t="array" ref="M19">SUMPRODUCT(('ALL 498 CONSOLIDATED NEW'!$N$2:$N$503=K$1)*(K19='ALL 498 CONSOLIDATED NEW'!$K$2:$M$503)*(ISNUMBER(MATCH('ALL 498 CONSOLIDATED NEW'!$G$2:$G$503,Table17131411212433[SCHOOL LIST],0))))</f>
        <v>0</v>
      </c>
      <c r="N19">
        <v>0</v>
      </c>
      <c r="O19">
        <f t="shared" si="2"/>
        <v>0</v>
      </c>
    </row>
    <row r="20" spans="1:37">
      <c r="A20" t="s">
        <v>199</v>
      </c>
      <c r="B20" t="s">
        <v>1793</v>
      </c>
      <c r="C20" cm="1">
        <f t="array" ref="C20">SUMPRODUCT(('ALL 498 CONSOLIDATED NEW'!$N$2:$N$503=A$1)*(A20='ALL 498 CONSOLIDATED NEW'!$K$2:$M$503)*(ISNUMBER(MATCH('ALL 498 CONSOLIDATED NEW'!$G$2:$G$503,Table17131411212433[SCHOOL LIST],0))))</f>
        <v>0</v>
      </c>
      <c r="D20">
        <v>0</v>
      </c>
      <c r="E20">
        <f t="shared" si="0"/>
        <v>0</v>
      </c>
      <c r="F20" t="s">
        <v>199</v>
      </c>
      <c r="G20" t="s">
        <v>1794</v>
      </c>
      <c r="H20" cm="1">
        <f t="array" ref="H20">SUMPRODUCT(('ALL 498 CONSOLIDATED NEW'!$N$2:$N$503=F$1)*(F20='ALL 498 CONSOLIDATED NEW'!$K$2:$M$503)*(ISNUMBER(MATCH('ALL 498 CONSOLIDATED NEW'!$G$2:$G$503,Table17131411212433[SCHOOL LIST],0))))</f>
        <v>0</v>
      </c>
      <c r="I20">
        <v>0</v>
      </c>
      <c r="J20">
        <f t="shared" si="1"/>
        <v>0</v>
      </c>
      <c r="K20" t="s">
        <v>199</v>
      </c>
      <c r="L20">
        <v>105101019</v>
      </c>
      <c r="M20" cm="1">
        <f t="array" ref="M20">SUMPRODUCT(('ALL 498 CONSOLIDATED NEW'!$N$2:$N$503=K$1)*(K20='ALL 498 CONSOLIDATED NEW'!$K$2:$M$503)*(ISNUMBER(MATCH('ALL 498 CONSOLIDATED NEW'!$G$2:$G$503,Table17131411212433[SCHOOL LIST],0))))</f>
        <v>0</v>
      </c>
      <c r="N20">
        <v>0</v>
      </c>
      <c r="O20">
        <f t="shared" si="2"/>
        <v>0</v>
      </c>
    </row>
    <row r="21" spans="1:37">
      <c r="A21" t="s">
        <v>635</v>
      </c>
      <c r="B21" t="s">
        <v>1795</v>
      </c>
      <c r="C21" cm="1">
        <f t="array" ref="C21">SUMPRODUCT(('ALL 498 CONSOLIDATED NEW'!$N$2:$N$503=A$1)*(A21='ALL 498 CONSOLIDATED NEW'!$K$2:$M$503)*(ISNUMBER(MATCH('ALL 498 CONSOLIDATED NEW'!$G$2:$G$503,Table17131411212433[SCHOOL LIST],0))))</f>
        <v>0</v>
      </c>
      <c r="D21">
        <v>0</v>
      </c>
      <c r="E21">
        <f t="shared" si="0"/>
        <v>0</v>
      </c>
      <c r="F21" t="s">
        <v>635</v>
      </c>
      <c r="G21" t="s">
        <v>1796</v>
      </c>
      <c r="H21" cm="1">
        <f t="array" ref="H21">SUMPRODUCT(('ALL 498 CONSOLIDATED NEW'!$N$2:$N$503=F$1)*(F21='ALL 498 CONSOLIDATED NEW'!$K$2:$M$503)*(ISNUMBER(MATCH('ALL 498 CONSOLIDATED NEW'!$G$2:$G$503,Table17131411212433[SCHOOL LIST],0))))</f>
        <v>0</v>
      </c>
      <c r="I21">
        <v>0</v>
      </c>
      <c r="J21">
        <f t="shared" si="1"/>
        <v>0</v>
      </c>
      <c r="K21" t="s">
        <v>635</v>
      </c>
      <c r="L21">
        <v>105101020</v>
      </c>
      <c r="M21" cm="1">
        <f t="array" ref="M21">SUMPRODUCT(('ALL 498 CONSOLIDATED NEW'!$N$2:$N$503=K$1)*(K21='ALL 498 CONSOLIDATED NEW'!$K$2:$M$503)*(ISNUMBER(MATCH('ALL 498 CONSOLIDATED NEW'!$G$2:$G$503,Table17131411212433[SCHOOL LIST],0))))</f>
        <v>0</v>
      </c>
      <c r="N21">
        <v>0</v>
      </c>
      <c r="O21">
        <f t="shared" si="2"/>
        <v>0</v>
      </c>
    </row>
    <row r="22" spans="1:37" s="20" customFormat="1" ht="30.75">
      <c r="B22" s="20" t="str">
        <f>A1</f>
        <v>Palm Pen Holder</v>
      </c>
      <c r="C22" s="20">
        <f>SUM(C2:C21)</f>
        <v>21</v>
      </c>
      <c r="D22">
        <f>SUM(D2:D21)</f>
        <v>21</v>
      </c>
      <c r="E22">
        <f t="shared" si="0"/>
        <v>0</v>
      </c>
      <c r="G22" s="20" t="str">
        <f>F1</f>
        <v>TOOTH  BRUSH ADAPTER</v>
      </c>
      <c r="H22" s="20">
        <f>SUM(H2:H21)</f>
        <v>6</v>
      </c>
      <c r="I22" s="20">
        <f>SUM(I2:I21)</f>
        <v>6</v>
      </c>
      <c r="J22">
        <f t="shared" si="1"/>
        <v>0</v>
      </c>
      <c r="L22" s="20" t="str">
        <f>K1</f>
        <v>Utensil Holder</v>
      </c>
      <c r="M22" s="20">
        <f>SUM(M2:M21)</f>
        <v>30</v>
      </c>
      <c r="N22" s="20">
        <f>SUM(N2:N21)</f>
        <v>30</v>
      </c>
      <c r="O22">
        <f t="shared" si="2"/>
        <v>0</v>
      </c>
      <c r="Q22" s="20" t="str">
        <f>P1</f>
        <v>Reading Bar - Curved</v>
      </c>
      <c r="R22" s="20">
        <f>SUM(R2:R21)</f>
        <v>4</v>
      </c>
      <c r="S22" s="20">
        <f>SUM(S2:S3)</f>
        <v>4</v>
      </c>
      <c r="T22">
        <f t="shared" ref="T22" si="3">R22-S22</f>
        <v>0</v>
      </c>
      <c r="V22" s="20" t="str">
        <f>U1</f>
        <v>Assistive Pencil Grip</v>
      </c>
      <c r="W22" s="20">
        <f>SUM(W2:W21)</f>
        <v>4</v>
      </c>
      <c r="X22" s="20">
        <f>SUM(X2:X3)</f>
        <v>4</v>
      </c>
      <c r="Y22" s="20">
        <f t="shared" ref="Y22" si="4">W22-X22</f>
        <v>0</v>
      </c>
      <c r="AA22" s="20" t="str">
        <f>Z1</f>
        <v>Button Aid</v>
      </c>
      <c r="AB22" s="20">
        <f>SUM(AB2:AB21)</f>
        <v>1</v>
      </c>
      <c r="AC22" s="20">
        <f>SUM(AC2:AC3)</f>
        <v>1</v>
      </c>
      <c r="AD22" s="20">
        <f t="shared" ref="AD22" si="5">AB22-AC22</f>
        <v>0</v>
      </c>
      <c r="AF22" s="20" t="str">
        <f>AE1</f>
        <v>LOW PROFILE SWITCH</v>
      </c>
      <c r="AG22" s="20">
        <f>SUM(AG2:AG21)</f>
        <v>8</v>
      </c>
      <c r="AH22" s="20">
        <f>SUM(AH2:AH3)</f>
        <v>0</v>
      </c>
      <c r="AI22" s="20">
        <f t="shared" ref="AI22" si="6">AG22-AH22</f>
        <v>8</v>
      </c>
      <c r="AJ22" s="20">
        <f>SUM(AG22,C22,H22,M22,R22,W22,AB22)</f>
        <v>74</v>
      </c>
      <c r="AK22" s="20" t="s">
        <v>1774</v>
      </c>
    </row>
    <row r="23" spans="1:37">
      <c r="AJ23">
        <f>SUM(C22,H22,M22,R22,W22,AB22)</f>
        <v>66</v>
      </c>
      <c r="AK23" t="s">
        <v>1797</v>
      </c>
    </row>
    <row r="24" spans="1:37">
      <c r="AJ24" s="113">
        <f>SUM(E22,J22,O22,T22,Y22,AD22)</f>
        <v>0</v>
      </c>
      <c r="AK24" s="113" t="s">
        <v>1798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E198-1AF4-4DFF-B350-284DD8DDB04E}">
  <dimension ref="A1:AO24"/>
  <sheetViews>
    <sheetView workbookViewId="0">
      <pane ySplit="1" topLeftCell="V12" activePane="bottomLeft" state="frozen"/>
      <selection pane="bottomLeft" activeCell="N5" sqref="N5"/>
    </sheetView>
  </sheetViews>
  <sheetFormatPr defaultRowHeight="15"/>
  <cols>
    <col min="2" max="2" width="10" customWidth="1"/>
    <col min="3" max="5" width="4.42578125" customWidth="1"/>
    <col min="7" max="7" width="10.140625" customWidth="1"/>
    <col min="8" max="10" width="5.28515625" customWidth="1"/>
    <col min="12" max="12" width="10.85546875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 ht="45.75">
      <c r="A1" s="20" t="s">
        <v>111</v>
      </c>
      <c r="C1" s="20" t="s">
        <v>1747</v>
      </c>
      <c r="D1" s="20" t="s">
        <v>1748</v>
      </c>
      <c r="E1" s="20" t="s">
        <v>1749</v>
      </c>
      <c r="F1" s="20" t="s">
        <v>162</v>
      </c>
      <c r="H1" s="20" t="s">
        <v>1747</v>
      </c>
      <c r="I1" s="20" t="s">
        <v>1748</v>
      </c>
      <c r="J1" s="20" t="s">
        <v>1749</v>
      </c>
      <c r="K1" s="20" t="s">
        <v>117</v>
      </c>
      <c r="M1" s="20" t="s">
        <v>1747</v>
      </c>
      <c r="N1" s="20" t="s">
        <v>1748</v>
      </c>
      <c r="O1" s="20" t="s">
        <v>1749</v>
      </c>
      <c r="P1" s="20" t="s">
        <v>188</v>
      </c>
      <c r="R1" s="20" t="s">
        <v>1747</v>
      </c>
      <c r="S1" s="20" t="s">
        <v>1748</v>
      </c>
      <c r="T1" s="20" t="s">
        <v>1749</v>
      </c>
      <c r="U1" s="20" t="s">
        <v>16</v>
      </c>
      <c r="W1" s="20" t="s">
        <v>1747</v>
      </c>
      <c r="X1" s="20" t="s">
        <v>1748</v>
      </c>
      <c r="Y1" s="20" t="s">
        <v>1749</v>
      </c>
      <c r="Z1" s="20" t="s">
        <v>122</v>
      </c>
      <c r="AB1" s="20" t="s">
        <v>1747</v>
      </c>
      <c r="AC1" s="20" t="s">
        <v>1748</v>
      </c>
      <c r="AD1" s="20" t="s">
        <v>1749</v>
      </c>
      <c r="AE1" s="20" t="s">
        <v>12</v>
      </c>
      <c r="AG1" s="20" t="s">
        <v>1747</v>
      </c>
      <c r="AH1" s="20" t="s">
        <v>1748</v>
      </c>
      <c r="AI1" s="20" t="s">
        <v>1749</v>
      </c>
      <c r="AL1" t="s">
        <v>1750</v>
      </c>
    </row>
    <row r="2" spans="1:41">
      <c r="A2" t="s">
        <v>116</v>
      </c>
      <c r="B2" t="s">
        <v>1751</v>
      </c>
      <c r="C2" cm="1">
        <f t="array" ref="C2">SUMPRODUCT(('ALL 498 CONSOLIDATED NEW'!$N$2:$N$503=A$1)*(A2='ALL 498 CONSOLIDATED NEW'!$K$2:$M$503)*(ISNUMBER(MATCH('ALL 498 CONSOLIDATED NEW'!$G$2:$G$503,Table17131411212437[SCHOOL LIST],0))))</f>
        <v>0</v>
      </c>
      <c r="D2">
        <v>0</v>
      </c>
      <c r="E2">
        <f>C2-D2</f>
        <v>0</v>
      </c>
      <c r="F2" t="s">
        <v>116</v>
      </c>
      <c r="G2" t="s">
        <v>1752</v>
      </c>
      <c r="H2" cm="1">
        <f t="array" ref="H2">SUMPRODUCT(('ALL 498 CONSOLIDATED NEW'!$N$2:$N$503=F$1)*(F2='ALL 498 CONSOLIDATED NEW'!$K$2:$M$503)*(ISNUMBER(MATCH('ALL 498 CONSOLIDATED NEW'!$G$2:$G$503,Table17131411212437[SCHOOL LIST],0))))</f>
        <v>0</v>
      </c>
      <c r="I2">
        <v>0</v>
      </c>
      <c r="J2">
        <f>H2-I2</f>
        <v>0</v>
      </c>
      <c r="K2" t="s">
        <v>116</v>
      </c>
      <c r="L2">
        <v>105101001</v>
      </c>
      <c r="M2" cm="1">
        <f t="array" ref="M2">SUMPRODUCT(('ALL 498 CONSOLIDATED NEW'!$N$2:$N$503=K$1)*(K2='ALL 498 CONSOLIDATED NEW'!$K$2:$M$503)*(ISNUMBER(MATCH('ALL 498 CONSOLIDATED NEW'!$G$2:$G$503,Table17131411212437[SCHOOL LIST],0))))</f>
        <v>1</v>
      </c>
      <c r="N2">
        <v>1</v>
      </c>
      <c r="O2">
        <f>M2-N2</f>
        <v>0</v>
      </c>
      <c r="P2" t="s">
        <v>186</v>
      </c>
      <c r="Q2">
        <v>302202001</v>
      </c>
      <c r="R2" cm="1">
        <f t="array" ref="R2">SUMPRODUCT(('ALL 498 CONSOLIDATED NEW'!$N$2:$N$503=P$1)*(P2='ALL 498 CONSOLIDATED NEW'!$K$2:$M$503)*(ISNUMBER(MATCH('ALL 498 CONSOLIDATED NEW'!$G$2:$G$503,Table17131411212437[SCHOOL LIST],0))))</f>
        <v>0</v>
      </c>
      <c r="S2">
        <v>0</v>
      </c>
      <c r="T2">
        <f>R2-S2</f>
        <v>0</v>
      </c>
      <c r="U2" t="s">
        <v>1313</v>
      </c>
      <c r="V2">
        <v>301201999</v>
      </c>
      <c r="W2" cm="1">
        <f t="array" ref="W2">SUMPRODUCT(('ALL 498 CONSOLIDATED NEW'!$N$2:$N$503=U$1)*(U2='ALL 498 CONSOLIDATED NEW'!$K$2:$M$503)*(ISNUMBER(MATCH('ALL 498 CONSOLIDATED NEW'!$G$2:$G$503,Table17131411212437[SCHOOL LIST],0))))</f>
        <v>0</v>
      </c>
      <c r="X2">
        <v>0</v>
      </c>
      <c r="Y2">
        <f>W2-X2</f>
        <v>0</v>
      </c>
      <c r="Z2" t="s">
        <v>1321</v>
      </c>
      <c r="AA2">
        <v>104104009</v>
      </c>
      <c r="AB2" cm="1">
        <f t="array" ref="AB2">SUMPRODUCT(('ALL 498 CONSOLIDATED NEW'!$N$2:$N$503=Z$1)*(Z2='ALL 498 CONSOLIDATED NEW'!$K$2:$M$503)*(ISNUMBER(MATCH('ALL 498 CONSOLIDATED NEW'!$G$2:$G$503,Table17131411212437[SCHOOL LIST],0))))</f>
        <v>4</v>
      </c>
      <c r="AC2">
        <v>4</v>
      </c>
      <c r="AD2">
        <f>AB2-AC2</f>
        <v>0</v>
      </c>
      <c r="AE2" t="s">
        <v>1365</v>
      </c>
      <c r="AF2">
        <v>204301999</v>
      </c>
      <c r="AG2" cm="1">
        <f t="array" ref="AG2">SUMPRODUCT(('ALL 498 CONSOLIDATED NEW'!$N$2:$N$503=AE$1)*(AE2='ALL 498 CONSOLIDATED NEW'!$K$2:$M$503)*(ISNUMBER(MATCH('ALL 498 CONSOLIDATED NEW'!$G$2:$G$503,Table17131411212437[SCHOOL LIST],0))))</f>
        <v>0</v>
      </c>
      <c r="AH2">
        <v>0</v>
      </c>
      <c r="AI2">
        <f>AG2-AH2</f>
        <v>0</v>
      </c>
      <c r="AL2" s="56" t="s">
        <v>78</v>
      </c>
    </row>
    <row r="3" spans="1:41">
      <c r="A3" t="s">
        <v>1753</v>
      </c>
      <c r="B3" t="s">
        <v>1754</v>
      </c>
      <c r="C3" cm="1">
        <f t="array" ref="C3">SUMPRODUCT(('ALL 498 CONSOLIDATED NEW'!$N$2:$N$503=A$1)*(A3='ALL 498 CONSOLIDATED NEW'!$K$2:$M$503)*(ISNUMBER(MATCH('ALL 498 CONSOLIDATED NEW'!$G$2:$G$503,Table17131411212437[SCHOOL LIST],0))))</f>
        <v>0</v>
      </c>
      <c r="D3">
        <v>0</v>
      </c>
      <c r="E3">
        <f t="shared" ref="E3:E22" si="0">C3-D3</f>
        <v>0</v>
      </c>
      <c r="F3" t="s">
        <v>1753</v>
      </c>
      <c r="G3" t="s">
        <v>1755</v>
      </c>
      <c r="H3" cm="1">
        <f t="array" ref="H3">SUMPRODUCT(('ALL 498 CONSOLIDATED NEW'!$N$2:$N$503=F$1)*(F3='ALL 498 CONSOLIDATED NEW'!$K$2:$M$503)*(ISNUMBER(MATCH('ALL 498 CONSOLIDATED NEW'!$G$2:$G$503,Table17131411212437[SCHOOL LIST],0))))</f>
        <v>0</v>
      </c>
      <c r="I3">
        <v>0</v>
      </c>
      <c r="J3">
        <f t="shared" ref="J3:J22" si="1">H3-I3</f>
        <v>0</v>
      </c>
      <c r="K3" t="s">
        <v>1753</v>
      </c>
      <c r="L3">
        <v>105101002</v>
      </c>
      <c r="M3" cm="1">
        <f t="array" ref="M3">SUMPRODUCT(('ALL 498 CONSOLIDATED NEW'!$N$2:$N$503=K$1)*(K3='ALL 498 CONSOLIDATED NEW'!$K$2:$M$503)*(ISNUMBER(MATCH('ALL 498 CONSOLIDATED NEW'!$G$2:$G$503,Table17131411212437[SCHOOL LIST],0))))</f>
        <v>0</v>
      </c>
      <c r="N3">
        <v>0</v>
      </c>
      <c r="O3">
        <f t="shared" ref="O3:O22" si="2">M3-N3</f>
        <v>0</v>
      </c>
      <c r="P3" t="s">
        <v>187</v>
      </c>
      <c r="Q3" t="s">
        <v>1756</v>
      </c>
      <c r="R3" cm="1">
        <f t="array" ref="R3">SUMPRODUCT(('ALL 498 CONSOLIDATED NEW'!$N$2:$N$503=P$1)*(P3='ALL 498 CONSOLIDATED NEW'!$K$2:$M$503)*(ISNUMBER(MATCH('ALL 498 CONSOLIDATED NEW'!$G$2:$G$503,Table17131411212437[SCHOOL LIST],0))))</f>
        <v>0</v>
      </c>
      <c r="S3">
        <v>0</v>
      </c>
      <c r="T3">
        <f>R3-S3</f>
        <v>0</v>
      </c>
      <c r="AL3" s="56" t="s">
        <v>41</v>
      </c>
      <c r="AM3" t="s">
        <v>1291</v>
      </c>
      <c r="AN3" t="s">
        <v>1304</v>
      </c>
      <c r="AO3" t="s">
        <v>1293</v>
      </c>
    </row>
    <row r="4" spans="1:41">
      <c r="A4" t="s">
        <v>109</v>
      </c>
      <c r="B4" t="s">
        <v>1757</v>
      </c>
      <c r="C4" cm="1">
        <f t="array" ref="C4">SUMPRODUCT(('ALL 498 CONSOLIDATED NEW'!$N$2:$N$503=A$1)*(A4='ALL 498 CONSOLIDATED NEW'!$K$2:$M$503)*(ISNUMBER(MATCH('ALL 498 CONSOLIDATED NEW'!$G$2:$G$503,Table17131411212437[SCHOOL LIST],0))))</f>
        <v>2</v>
      </c>
      <c r="D4">
        <v>2</v>
      </c>
      <c r="E4">
        <f t="shared" si="0"/>
        <v>0</v>
      </c>
      <c r="F4" t="s">
        <v>109</v>
      </c>
      <c r="G4" t="s">
        <v>1758</v>
      </c>
      <c r="H4" cm="1">
        <f t="array" ref="H4">SUMPRODUCT(('ALL 498 CONSOLIDATED NEW'!$N$2:$N$503=F$1)*(F4='ALL 498 CONSOLIDATED NEW'!$K$2:$M$503)*(ISNUMBER(MATCH('ALL 498 CONSOLIDATED NEW'!$G$2:$G$503,Table17131411212437[SCHOOL LIST],0))))</f>
        <v>1</v>
      </c>
      <c r="I4">
        <v>1</v>
      </c>
      <c r="J4">
        <f t="shared" si="1"/>
        <v>0</v>
      </c>
      <c r="K4" t="s">
        <v>109</v>
      </c>
      <c r="L4">
        <v>105101003</v>
      </c>
      <c r="M4" cm="1">
        <f t="array" ref="M4">SUMPRODUCT(('ALL 498 CONSOLIDATED NEW'!$N$2:$N$503=K$1)*(K4='ALL 498 CONSOLIDATED NEW'!$K$2:$M$503)*(ISNUMBER(MATCH('ALL 498 CONSOLIDATED NEW'!$G$2:$G$503,Table17131411212437[SCHOOL LIST],0))))</f>
        <v>4</v>
      </c>
      <c r="N4">
        <v>4</v>
      </c>
      <c r="O4">
        <f t="shared" si="2"/>
        <v>0</v>
      </c>
      <c r="AL4" s="56"/>
      <c r="AM4">
        <v>1</v>
      </c>
      <c r="AN4" t="s">
        <v>111</v>
      </c>
      <c r="AO4">
        <f>C22/3</f>
        <v>5</v>
      </c>
    </row>
    <row r="5" spans="1:41">
      <c r="A5" t="s">
        <v>1759</v>
      </c>
      <c r="B5" t="s">
        <v>1760</v>
      </c>
      <c r="C5" cm="1">
        <f t="array" ref="C5">SUMPRODUCT(('ALL 498 CONSOLIDATED NEW'!$N$2:$N$503=A$1)*(A5='ALL 498 CONSOLIDATED NEW'!$K$2:$M$503)*(ISNUMBER(MATCH('ALL 498 CONSOLIDATED NEW'!$G$2:$G$503,Table17131411212437[SCHOOL LIST],0))))</f>
        <v>0</v>
      </c>
      <c r="D5">
        <v>0</v>
      </c>
      <c r="E5">
        <f t="shared" si="0"/>
        <v>0</v>
      </c>
      <c r="F5" t="s">
        <v>1759</v>
      </c>
      <c r="G5" t="s">
        <v>1761</v>
      </c>
      <c r="H5" cm="1">
        <f t="array" ref="H5">SUMPRODUCT(('ALL 498 CONSOLIDATED NEW'!$N$2:$N$503=F$1)*(F5='ALL 498 CONSOLIDATED NEW'!$K$2:$M$503)*(ISNUMBER(MATCH('ALL 498 CONSOLIDATED NEW'!$G$2:$G$503,Table17131411212437[SCHOOL LIST],0))))</f>
        <v>0</v>
      </c>
      <c r="I5">
        <v>0</v>
      </c>
      <c r="J5">
        <f t="shared" si="1"/>
        <v>0</v>
      </c>
      <c r="K5" t="s">
        <v>1759</v>
      </c>
      <c r="L5">
        <v>105101004</v>
      </c>
      <c r="M5" cm="1">
        <f t="array" ref="M5">SUMPRODUCT(('ALL 498 CONSOLIDATED NEW'!$N$2:$N$503=K$1)*(K5='ALL 498 CONSOLIDATED NEW'!$K$2:$M$503)*(ISNUMBER(MATCH('ALL 498 CONSOLIDATED NEW'!$G$2:$G$503,Table17131411212437[SCHOOL LIST],0))))</f>
        <v>0</v>
      </c>
      <c r="N5">
        <v>0</v>
      </c>
      <c r="O5">
        <f t="shared" si="2"/>
        <v>0</v>
      </c>
      <c r="AL5" s="87"/>
      <c r="AM5">
        <v>2</v>
      </c>
      <c r="AN5" t="s">
        <v>162</v>
      </c>
      <c r="AO5">
        <f>H22/3</f>
        <v>7</v>
      </c>
    </row>
    <row r="6" spans="1:41">
      <c r="A6" t="s">
        <v>130</v>
      </c>
      <c r="B6" t="s">
        <v>1762</v>
      </c>
      <c r="C6" cm="1">
        <f t="array" ref="C6">SUMPRODUCT(('ALL 498 CONSOLIDATED NEW'!$N$2:$N$503=A$1)*(A6='ALL 498 CONSOLIDATED NEW'!$K$2:$M$503)*(ISNUMBER(MATCH('ALL 498 CONSOLIDATED NEW'!$G$2:$G$503,Table17131411212437[SCHOOL LIST],0))))</f>
        <v>3</v>
      </c>
      <c r="D6">
        <v>3</v>
      </c>
      <c r="E6">
        <f t="shared" si="0"/>
        <v>0</v>
      </c>
      <c r="F6" t="s">
        <v>130</v>
      </c>
      <c r="G6" t="s">
        <v>1763</v>
      </c>
      <c r="H6" cm="1">
        <f t="array" ref="H6">SUMPRODUCT(('ALL 498 CONSOLIDATED NEW'!$N$2:$N$503=F$1)*(F6='ALL 498 CONSOLIDATED NEW'!$K$2:$M$503)*(ISNUMBER(MATCH('ALL 498 CONSOLIDATED NEW'!$G$2:$G$503,Table17131411212437[SCHOOL LIST],0))))</f>
        <v>2</v>
      </c>
      <c r="I6">
        <v>2</v>
      </c>
      <c r="J6">
        <f t="shared" si="1"/>
        <v>0</v>
      </c>
      <c r="K6" t="s">
        <v>130</v>
      </c>
      <c r="L6">
        <v>105101005</v>
      </c>
      <c r="M6" cm="1">
        <f t="array" ref="M6">SUMPRODUCT(('ALL 498 CONSOLIDATED NEW'!$N$2:$N$503=K$1)*(K6='ALL 498 CONSOLIDATED NEW'!$K$2:$M$503)*(ISNUMBER(MATCH('ALL 498 CONSOLIDATED NEW'!$G$2:$G$503,Table17131411212437[SCHOOL LIST],0))))</f>
        <v>1</v>
      </c>
      <c r="N6">
        <v>1</v>
      </c>
      <c r="O6">
        <f t="shared" si="2"/>
        <v>0</v>
      </c>
      <c r="AL6" s="56"/>
      <c r="AM6">
        <v>3</v>
      </c>
      <c r="AN6" t="s">
        <v>117</v>
      </c>
      <c r="AO6">
        <f>M22/3</f>
        <v>5</v>
      </c>
    </row>
    <row r="7" spans="1:41">
      <c r="A7" t="s">
        <v>443</v>
      </c>
      <c r="B7" t="s">
        <v>1764</v>
      </c>
      <c r="C7" cm="1">
        <f t="array" ref="C7">SUMPRODUCT(('ALL 498 CONSOLIDATED NEW'!$N$2:$N$503=A$1)*(A7='ALL 498 CONSOLIDATED NEW'!$K$2:$M$503)*(ISNUMBER(MATCH('ALL 498 CONSOLIDATED NEW'!$G$2:$G$503,Table17131411212437[SCHOOL LIST],0))))</f>
        <v>0</v>
      </c>
      <c r="D7">
        <v>0</v>
      </c>
      <c r="E7">
        <f t="shared" si="0"/>
        <v>0</v>
      </c>
      <c r="F7" t="s">
        <v>443</v>
      </c>
      <c r="G7" t="s">
        <v>1765</v>
      </c>
      <c r="H7" cm="1">
        <f t="array" ref="H7">SUMPRODUCT(('ALL 498 CONSOLIDATED NEW'!$N$2:$N$503=F$1)*(F7='ALL 498 CONSOLIDATED NEW'!$K$2:$M$503)*(ISNUMBER(MATCH('ALL 498 CONSOLIDATED NEW'!$G$2:$G$503,Table17131411212437[SCHOOL LIST],0))))</f>
        <v>0</v>
      </c>
      <c r="I7">
        <v>0</v>
      </c>
      <c r="J7">
        <f t="shared" si="1"/>
        <v>0</v>
      </c>
      <c r="K7" t="s">
        <v>443</v>
      </c>
      <c r="L7">
        <v>105101006</v>
      </c>
      <c r="M7" cm="1">
        <f t="array" ref="M7">SUMPRODUCT(('ALL 498 CONSOLIDATED NEW'!$N$2:$N$503=K$1)*(K7='ALL 498 CONSOLIDATED NEW'!$K$2:$M$503)*(ISNUMBER(MATCH('ALL 498 CONSOLIDATED NEW'!$G$2:$G$503,Table17131411212437[SCHOOL LIST],0))))</f>
        <v>0</v>
      </c>
      <c r="N7">
        <v>0</v>
      </c>
      <c r="O7">
        <f t="shared" si="2"/>
        <v>0</v>
      </c>
      <c r="AL7" s="87"/>
      <c r="AM7">
        <v>4</v>
      </c>
      <c r="AN7" t="s">
        <v>188</v>
      </c>
      <c r="AO7">
        <f>R22/2</f>
        <v>0</v>
      </c>
    </row>
    <row r="8" spans="1:41">
      <c r="A8" t="s">
        <v>110</v>
      </c>
      <c r="B8" t="s">
        <v>1766</v>
      </c>
      <c r="C8" cm="1">
        <f t="array" ref="C8">SUMPRODUCT(('ALL 498 CONSOLIDATED NEW'!$N$2:$N$503=A$1)*(A8='ALL 498 CONSOLIDATED NEW'!$K$2:$M$503)*(ISNUMBER(MATCH('ALL 498 CONSOLIDATED NEW'!$G$2:$G$503,Table17131411212437[SCHOOL LIST],0))))</f>
        <v>5</v>
      </c>
      <c r="D8">
        <v>5</v>
      </c>
      <c r="E8">
        <f t="shared" si="0"/>
        <v>0</v>
      </c>
      <c r="F8" t="s">
        <v>110</v>
      </c>
      <c r="G8" t="s">
        <v>1767</v>
      </c>
      <c r="H8" cm="1">
        <f t="array" ref="H8">SUMPRODUCT(('ALL 498 CONSOLIDATED NEW'!$N$2:$N$503=F$1)*(F8='ALL 498 CONSOLIDATED NEW'!$K$2:$M$503)*(ISNUMBER(MATCH('ALL 498 CONSOLIDATED NEW'!$G$2:$G$503,Table17131411212437[SCHOOL LIST],0))))</f>
        <v>3</v>
      </c>
      <c r="I8">
        <v>3</v>
      </c>
      <c r="J8">
        <f t="shared" si="1"/>
        <v>0</v>
      </c>
      <c r="K8" t="s">
        <v>110</v>
      </c>
      <c r="L8">
        <v>105101007</v>
      </c>
      <c r="M8" cm="1">
        <f t="array" ref="M8">SUMPRODUCT(('ALL 498 CONSOLIDATED NEW'!$N$2:$N$503=K$1)*(K8='ALL 498 CONSOLIDATED NEW'!$K$2:$M$503)*(ISNUMBER(MATCH('ALL 498 CONSOLIDATED NEW'!$G$2:$G$503,Table17131411212437[SCHOOL LIST],0))))</f>
        <v>5</v>
      </c>
      <c r="N8">
        <v>5</v>
      </c>
      <c r="O8">
        <f t="shared" si="2"/>
        <v>0</v>
      </c>
      <c r="AL8" s="56"/>
      <c r="AM8">
        <v>5</v>
      </c>
      <c r="AN8" t="s">
        <v>16</v>
      </c>
      <c r="AO8">
        <f>W22/2</f>
        <v>0</v>
      </c>
    </row>
    <row r="9" spans="1:41">
      <c r="A9" t="s">
        <v>108</v>
      </c>
      <c r="B9" t="s">
        <v>1768</v>
      </c>
      <c r="C9" cm="1">
        <f t="array" ref="C9">SUMPRODUCT(('ALL 498 CONSOLIDATED NEW'!$N$2:$N$503=A$1)*(A9='ALL 498 CONSOLIDATED NEW'!$K$2:$M$503)*(ISNUMBER(MATCH('ALL 498 CONSOLIDATED NEW'!$G$2:$G$503,Table17131411212437[SCHOOL LIST],0))))</f>
        <v>5</v>
      </c>
      <c r="D9">
        <v>5</v>
      </c>
      <c r="E9">
        <f t="shared" si="0"/>
        <v>0</v>
      </c>
      <c r="F9" t="s">
        <v>108</v>
      </c>
      <c r="G9" t="s">
        <v>1769</v>
      </c>
      <c r="H9" cm="1">
        <f t="array" ref="H9">SUMPRODUCT(('ALL 498 CONSOLIDATED NEW'!$N$2:$N$503=F$1)*(F9='ALL 498 CONSOLIDATED NEW'!$K$2:$M$503)*(ISNUMBER(MATCH('ALL 498 CONSOLIDATED NEW'!$G$2:$G$503,Table17131411212437[SCHOOL LIST],0))))</f>
        <v>7</v>
      </c>
      <c r="I9">
        <v>7</v>
      </c>
      <c r="J9">
        <f t="shared" si="1"/>
        <v>0</v>
      </c>
      <c r="K9" t="s">
        <v>108</v>
      </c>
      <c r="L9">
        <v>105101008</v>
      </c>
      <c r="M9" cm="1">
        <f t="array" ref="M9">SUMPRODUCT(('ALL 498 CONSOLIDATED NEW'!$N$2:$N$503=K$1)*(K9='ALL 498 CONSOLIDATED NEW'!$K$2:$M$503)*(ISNUMBER(MATCH('ALL 498 CONSOLIDATED NEW'!$G$2:$G$503,Table17131411212437[SCHOOL LIST],0))))</f>
        <v>4</v>
      </c>
      <c r="N9">
        <v>4</v>
      </c>
      <c r="O9">
        <f t="shared" si="2"/>
        <v>0</v>
      </c>
      <c r="AL9" s="56"/>
      <c r="AM9">
        <v>6</v>
      </c>
      <c r="AN9" t="s">
        <v>122</v>
      </c>
      <c r="AO9">
        <f>AB22</f>
        <v>4</v>
      </c>
    </row>
    <row r="10" spans="1:41">
      <c r="A10" t="s">
        <v>250</v>
      </c>
      <c r="B10" t="s">
        <v>1770</v>
      </c>
      <c r="C10" cm="1">
        <f t="array" ref="C10">SUMPRODUCT(('ALL 498 CONSOLIDATED NEW'!$N$2:$N$503=A$1)*(A10='ALL 498 CONSOLIDATED NEW'!$K$2:$M$503)*(ISNUMBER(MATCH('ALL 498 CONSOLIDATED NEW'!$G$2:$G$503,Table17131411212437[SCHOOL LIST],0))))</f>
        <v>0</v>
      </c>
      <c r="D10">
        <v>0</v>
      </c>
      <c r="E10">
        <f t="shared" si="0"/>
        <v>0</v>
      </c>
      <c r="F10" t="s">
        <v>250</v>
      </c>
      <c r="G10" t="s">
        <v>1771</v>
      </c>
      <c r="H10" cm="1">
        <f t="array" ref="H10">SUMPRODUCT(('ALL 498 CONSOLIDATED NEW'!$N$2:$N$503=F$1)*(F10='ALL 498 CONSOLIDATED NEW'!$K$2:$M$503)*(ISNUMBER(MATCH('ALL 498 CONSOLIDATED NEW'!$G$2:$G$503,Table17131411212437[SCHOOL LIST],0))))</f>
        <v>0</v>
      </c>
      <c r="I10">
        <v>0</v>
      </c>
      <c r="J10">
        <f t="shared" si="1"/>
        <v>0</v>
      </c>
      <c r="K10" t="s">
        <v>250</v>
      </c>
      <c r="L10">
        <v>105101009</v>
      </c>
      <c r="M10" cm="1">
        <f t="array" ref="M10">SUMPRODUCT(('ALL 498 CONSOLIDATED NEW'!$N$2:$N$503=K$1)*(K10='ALL 498 CONSOLIDATED NEW'!$K$2:$M$503)*(ISNUMBER(MATCH('ALL 498 CONSOLIDATED NEW'!$G$2:$G$503,Table17131411212437[SCHOOL LIST],0))))</f>
        <v>0</v>
      </c>
      <c r="N10">
        <v>0</v>
      </c>
      <c r="O10">
        <f t="shared" si="2"/>
        <v>0</v>
      </c>
      <c r="AL10" s="56"/>
      <c r="AM10">
        <v>7</v>
      </c>
      <c r="AN10" t="s">
        <v>12</v>
      </c>
      <c r="AO10">
        <f>AG22</f>
        <v>0</v>
      </c>
    </row>
    <row r="11" spans="1:41">
      <c r="A11" t="s">
        <v>135</v>
      </c>
      <c r="B11" t="s">
        <v>1772</v>
      </c>
      <c r="C11" cm="1">
        <f t="array" ref="C11">SUMPRODUCT(('ALL 498 CONSOLIDATED NEW'!$N$2:$N$503=A$1)*(A11='ALL 498 CONSOLIDATED NEW'!$K$2:$M$503)*(ISNUMBER(MATCH('ALL 498 CONSOLIDATED NEW'!$G$2:$G$503,Table17131411212437[SCHOOL LIST],0))))</f>
        <v>0</v>
      </c>
      <c r="D11">
        <v>0</v>
      </c>
      <c r="E11">
        <f t="shared" si="0"/>
        <v>0</v>
      </c>
      <c r="F11" t="s">
        <v>135</v>
      </c>
      <c r="G11" t="s">
        <v>1773</v>
      </c>
      <c r="H11" cm="1">
        <f t="array" ref="H11">SUMPRODUCT(('ALL 498 CONSOLIDATED NEW'!$N$2:$N$503=F$1)*(F11='ALL 498 CONSOLIDATED NEW'!$K$2:$M$503)*(ISNUMBER(MATCH('ALL 498 CONSOLIDATED NEW'!$G$2:$G$503,Table17131411212437[SCHOOL LIST],0))))</f>
        <v>4</v>
      </c>
      <c r="I11">
        <v>4</v>
      </c>
      <c r="J11">
        <f t="shared" si="1"/>
        <v>0</v>
      </c>
      <c r="K11" t="s">
        <v>135</v>
      </c>
      <c r="L11">
        <v>105101010</v>
      </c>
      <c r="M11" cm="1">
        <f t="array" ref="M11">SUMPRODUCT(('ALL 498 CONSOLIDATED NEW'!$N$2:$N$503=K$1)*(K11='ALL 498 CONSOLIDATED NEW'!$K$2:$M$503)*(ISNUMBER(MATCH('ALL 498 CONSOLIDATED NEW'!$G$2:$G$503,Table17131411212437[SCHOOL LIST],0))))</f>
        <v>0</v>
      </c>
      <c r="N11">
        <v>0</v>
      </c>
      <c r="O11">
        <f t="shared" si="2"/>
        <v>0</v>
      </c>
      <c r="AL11" s="56"/>
      <c r="AN11" s="99" t="s">
        <v>1774</v>
      </c>
      <c r="AO11">
        <f>SUM(AO4:AO10)</f>
        <v>21</v>
      </c>
    </row>
    <row r="12" spans="1:41">
      <c r="A12" t="s">
        <v>150</v>
      </c>
      <c r="B12" t="s">
        <v>1775</v>
      </c>
      <c r="C12" cm="1">
        <f t="array" ref="C12">SUMPRODUCT(('ALL 498 CONSOLIDATED NEW'!$N$2:$N$503=A$1)*(A12='ALL 498 CONSOLIDATED NEW'!$K$2:$M$503)*(ISNUMBER(MATCH('ALL 498 CONSOLIDATED NEW'!$G$2:$G$503,Table17131411212437[SCHOOL LIST],0))))</f>
        <v>0</v>
      </c>
      <c r="D12">
        <v>0</v>
      </c>
      <c r="E12">
        <f t="shared" si="0"/>
        <v>0</v>
      </c>
      <c r="F12" t="s">
        <v>150</v>
      </c>
      <c r="G12" t="s">
        <v>1776</v>
      </c>
      <c r="H12" cm="1">
        <f t="array" ref="H12">SUMPRODUCT(('ALL 498 CONSOLIDATED NEW'!$N$2:$N$503=F$1)*(F12='ALL 498 CONSOLIDATED NEW'!$K$2:$M$503)*(ISNUMBER(MATCH('ALL 498 CONSOLIDATED NEW'!$G$2:$G$503,Table17131411212437[SCHOOL LIST],0))))</f>
        <v>0</v>
      </c>
      <c r="I12">
        <v>0</v>
      </c>
      <c r="J12">
        <f t="shared" si="1"/>
        <v>0</v>
      </c>
      <c r="K12" t="s">
        <v>150</v>
      </c>
      <c r="L12">
        <v>105101011</v>
      </c>
      <c r="M12" cm="1">
        <f t="array" ref="M12">SUMPRODUCT(('ALL 498 CONSOLIDATED NEW'!$N$2:$N$503=K$1)*(K12='ALL 498 CONSOLIDATED NEW'!$K$2:$M$503)*(ISNUMBER(MATCH('ALL 498 CONSOLIDATED NEW'!$G$2:$G$503,Table17131411212437[SCHOOL LIST],0))))</f>
        <v>0</v>
      </c>
      <c r="N12">
        <v>0</v>
      </c>
      <c r="O12">
        <f t="shared" si="2"/>
        <v>0</v>
      </c>
      <c r="AL12" s="56"/>
      <c r="AN12" s="99" t="s">
        <v>1777</v>
      </c>
      <c r="AO12">
        <f>SUM(AO4:AO9)</f>
        <v>21</v>
      </c>
    </row>
    <row r="13" spans="1:41">
      <c r="A13" t="s">
        <v>846</v>
      </c>
      <c r="B13" t="s">
        <v>1778</v>
      </c>
      <c r="C13" cm="1">
        <f t="array" ref="C13">SUMPRODUCT(('ALL 498 CONSOLIDATED NEW'!$N$2:$N$503=A$1)*(A13='ALL 498 CONSOLIDATED NEW'!$K$2:$M$503)*(ISNUMBER(MATCH('ALL 498 CONSOLIDATED NEW'!$G$2:$G$503,Table17131411212437[SCHOOL LIST],0))))</f>
        <v>0</v>
      </c>
      <c r="D13">
        <v>0</v>
      </c>
      <c r="E13">
        <f t="shared" si="0"/>
        <v>0</v>
      </c>
      <c r="F13" t="s">
        <v>846</v>
      </c>
      <c r="G13" t="s">
        <v>1779</v>
      </c>
      <c r="H13" cm="1">
        <f t="array" ref="H13">SUMPRODUCT(('ALL 498 CONSOLIDATED NEW'!$N$2:$N$503=F$1)*(F13='ALL 498 CONSOLIDATED NEW'!$K$2:$M$503)*(ISNUMBER(MATCH('ALL 498 CONSOLIDATED NEW'!$G$2:$G$503,Table17131411212437[SCHOOL LIST],0))))</f>
        <v>0</v>
      </c>
      <c r="I13">
        <v>0</v>
      </c>
      <c r="J13">
        <f t="shared" si="1"/>
        <v>0</v>
      </c>
      <c r="K13" t="s">
        <v>846</v>
      </c>
      <c r="L13">
        <v>105101012</v>
      </c>
      <c r="M13" cm="1">
        <f t="array" ref="M13">SUMPRODUCT(('ALL 498 CONSOLIDATED NEW'!$N$2:$N$503=K$1)*(K13='ALL 498 CONSOLIDATED NEW'!$K$2:$M$503)*(ISNUMBER(MATCH('ALL 498 CONSOLIDATED NEW'!$G$2:$G$503,Table17131411212437[SCHOOL LIST],0))))</f>
        <v>0</v>
      </c>
      <c r="N13">
        <v>0</v>
      </c>
      <c r="O13">
        <f t="shared" si="2"/>
        <v>0</v>
      </c>
      <c r="AL13" s="98"/>
    </row>
    <row r="14" spans="1:41">
      <c r="A14" t="s">
        <v>251</v>
      </c>
      <c r="B14" t="s">
        <v>1780</v>
      </c>
      <c r="C14" cm="1">
        <f t="array" ref="C14">SUMPRODUCT(('ALL 498 CONSOLIDATED NEW'!$N$2:$N$503=A$1)*(A14='ALL 498 CONSOLIDATED NEW'!$K$2:$M$503)*(ISNUMBER(MATCH('ALL 498 CONSOLIDATED NEW'!$G$2:$G$503,Table17131411212437[SCHOOL LIST],0))))</f>
        <v>0</v>
      </c>
      <c r="D14">
        <v>0</v>
      </c>
      <c r="E14">
        <f t="shared" si="0"/>
        <v>0</v>
      </c>
      <c r="F14" t="s">
        <v>251</v>
      </c>
      <c r="G14" t="s">
        <v>1781</v>
      </c>
      <c r="H14" cm="1">
        <f t="array" ref="H14">SUMPRODUCT(('ALL 498 CONSOLIDATED NEW'!$N$2:$N$503=F$1)*(F14='ALL 498 CONSOLIDATED NEW'!$K$2:$M$503)*(ISNUMBER(MATCH('ALL 498 CONSOLIDATED NEW'!$G$2:$G$503,Table17131411212437[SCHOOL LIST],0))))</f>
        <v>0</v>
      </c>
      <c r="I14">
        <v>0</v>
      </c>
      <c r="J14">
        <f t="shared" si="1"/>
        <v>0</v>
      </c>
      <c r="K14" t="s">
        <v>251</v>
      </c>
      <c r="L14">
        <v>105101013</v>
      </c>
      <c r="M14" cm="1">
        <f t="array" ref="M14">SUMPRODUCT(('ALL 498 CONSOLIDATED NEW'!$N$2:$N$503=K$1)*(K14='ALL 498 CONSOLIDATED NEW'!$K$2:$M$503)*(ISNUMBER(MATCH('ALL 498 CONSOLIDATED NEW'!$G$2:$G$503,Table17131411212437[SCHOOL LIST],0))))</f>
        <v>0</v>
      </c>
      <c r="N14">
        <v>0</v>
      </c>
      <c r="O14">
        <f t="shared" si="2"/>
        <v>0</v>
      </c>
    </row>
    <row r="15" spans="1:41">
      <c r="A15" t="s">
        <v>136</v>
      </c>
      <c r="B15" t="s">
        <v>1782</v>
      </c>
      <c r="C15" cm="1">
        <f t="array" ref="C15">SUMPRODUCT(('ALL 498 CONSOLIDATED NEW'!$N$2:$N$503=A$1)*(A15='ALL 498 CONSOLIDATED NEW'!$K$2:$M$503)*(ISNUMBER(MATCH('ALL 498 CONSOLIDATED NEW'!$G$2:$G$503,Table17131411212437[SCHOOL LIST],0))))</f>
        <v>0</v>
      </c>
      <c r="D15">
        <v>0</v>
      </c>
      <c r="E15">
        <f t="shared" si="0"/>
        <v>0</v>
      </c>
      <c r="F15" t="s">
        <v>136</v>
      </c>
      <c r="G15" t="s">
        <v>1783</v>
      </c>
      <c r="H15" cm="1">
        <f t="array" ref="H15">SUMPRODUCT(('ALL 498 CONSOLIDATED NEW'!$N$2:$N$503=F$1)*(F15='ALL 498 CONSOLIDATED NEW'!$K$2:$M$503)*(ISNUMBER(MATCH('ALL 498 CONSOLIDATED NEW'!$G$2:$G$503,Table17131411212437[SCHOOL LIST],0))))</f>
        <v>4</v>
      </c>
      <c r="I15">
        <v>4</v>
      </c>
      <c r="J15">
        <f t="shared" si="1"/>
        <v>0</v>
      </c>
      <c r="K15" t="s">
        <v>136</v>
      </c>
      <c r="L15">
        <v>105101014</v>
      </c>
      <c r="M15" cm="1">
        <f t="array" ref="M15">SUMPRODUCT(('ALL 498 CONSOLIDATED NEW'!$N$2:$N$503=K$1)*(K15='ALL 498 CONSOLIDATED NEW'!$K$2:$M$503)*(ISNUMBER(MATCH('ALL 498 CONSOLIDATED NEW'!$G$2:$G$503,Table17131411212437[SCHOOL LIST],0))))</f>
        <v>0</v>
      </c>
      <c r="N15">
        <v>0</v>
      </c>
      <c r="O15">
        <f t="shared" si="2"/>
        <v>0</v>
      </c>
    </row>
    <row r="16" spans="1:41">
      <c r="A16" t="s">
        <v>198</v>
      </c>
      <c r="B16" t="s">
        <v>1784</v>
      </c>
      <c r="C16" cm="1">
        <f t="array" ref="C16">SUMPRODUCT(('ALL 498 CONSOLIDATED NEW'!$N$2:$N$503=A$1)*(A16='ALL 498 CONSOLIDATED NEW'!$K$2:$M$503)*(ISNUMBER(MATCH('ALL 498 CONSOLIDATED NEW'!$G$2:$G$503,Table17131411212437[SCHOOL LIST],0))))</f>
        <v>0</v>
      </c>
      <c r="D16">
        <v>0</v>
      </c>
      <c r="E16">
        <f t="shared" si="0"/>
        <v>0</v>
      </c>
      <c r="F16" t="s">
        <v>198</v>
      </c>
      <c r="G16" t="s">
        <v>1785</v>
      </c>
      <c r="H16" cm="1">
        <f t="array" ref="H16">SUMPRODUCT(('ALL 498 CONSOLIDATED NEW'!$N$2:$N$503=F$1)*(F16='ALL 498 CONSOLIDATED NEW'!$K$2:$M$503)*(ISNUMBER(MATCH('ALL 498 CONSOLIDATED NEW'!$G$2:$G$503,Table17131411212437[SCHOOL LIST],0))))</f>
        <v>0</v>
      </c>
      <c r="I16">
        <v>0</v>
      </c>
      <c r="J16">
        <f t="shared" si="1"/>
        <v>0</v>
      </c>
      <c r="K16" t="s">
        <v>198</v>
      </c>
      <c r="L16">
        <v>105101015</v>
      </c>
      <c r="M16" cm="1">
        <f t="array" ref="M16">SUMPRODUCT(('ALL 498 CONSOLIDATED NEW'!$N$2:$N$503=K$1)*(K16='ALL 498 CONSOLIDATED NEW'!$K$2:$M$503)*(ISNUMBER(MATCH('ALL 498 CONSOLIDATED NEW'!$G$2:$G$503,Table17131411212437[SCHOOL LIST],0))))</f>
        <v>0</v>
      </c>
      <c r="N16">
        <v>0</v>
      </c>
      <c r="O16">
        <f t="shared" si="2"/>
        <v>0</v>
      </c>
    </row>
    <row r="17" spans="1:37">
      <c r="A17" t="s">
        <v>200</v>
      </c>
      <c r="B17" t="s">
        <v>1786</v>
      </c>
      <c r="C17" cm="1">
        <f t="array" ref="C17">SUMPRODUCT(('ALL 498 CONSOLIDATED NEW'!$N$2:$N$503=A$1)*(A17='ALL 498 CONSOLIDATED NEW'!$K$2:$M$503)*(ISNUMBER(MATCH('ALL 498 CONSOLIDATED NEW'!$G$2:$G$503,Table17131411212437[SCHOOL LIST],0))))</f>
        <v>0</v>
      </c>
      <c r="D17">
        <v>0</v>
      </c>
      <c r="E17">
        <f t="shared" si="0"/>
        <v>0</v>
      </c>
      <c r="F17" t="s">
        <v>200</v>
      </c>
      <c r="G17" t="s">
        <v>1787</v>
      </c>
      <c r="H17" cm="1">
        <f t="array" ref="H17">SUMPRODUCT(('ALL 498 CONSOLIDATED NEW'!$N$2:$N$503=F$1)*(F17='ALL 498 CONSOLIDATED NEW'!$K$2:$M$503)*(ISNUMBER(MATCH('ALL 498 CONSOLIDATED NEW'!$G$2:$G$503,Table17131411212437[SCHOOL LIST],0))))</f>
        <v>0</v>
      </c>
      <c r="I17">
        <v>0</v>
      </c>
      <c r="J17">
        <f t="shared" si="1"/>
        <v>0</v>
      </c>
      <c r="K17" t="s">
        <v>200</v>
      </c>
      <c r="L17">
        <v>105101016</v>
      </c>
      <c r="M17" cm="1">
        <f t="array" ref="M17">SUMPRODUCT(('ALL 498 CONSOLIDATED NEW'!$N$2:$N$503=K$1)*(K17='ALL 498 CONSOLIDATED NEW'!$K$2:$M$503)*(ISNUMBER(MATCH('ALL 498 CONSOLIDATED NEW'!$G$2:$G$503,Table17131411212437[SCHOOL LIST],0))))</f>
        <v>0</v>
      </c>
      <c r="N17">
        <v>0</v>
      </c>
      <c r="O17">
        <f t="shared" si="2"/>
        <v>0</v>
      </c>
    </row>
    <row r="18" spans="1:37">
      <c r="A18" t="s">
        <v>1788</v>
      </c>
      <c r="B18" t="s">
        <v>1789</v>
      </c>
      <c r="C18" cm="1">
        <f t="array" ref="C18">SUMPRODUCT(('ALL 498 CONSOLIDATED NEW'!$N$2:$N$503=A$1)*(A18='ALL 498 CONSOLIDATED NEW'!$K$2:$M$503)*(ISNUMBER(MATCH('ALL 498 CONSOLIDATED NEW'!$G$2:$G$503,Table17131411212437[SCHOOL LIST],0))))</f>
        <v>0</v>
      </c>
      <c r="D18">
        <v>0</v>
      </c>
      <c r="E18">
        <f t="shared" si="0"/>
        <v>0</v>
      </c>
      <c r="F18" t="s">
        <v>1788</v>
      </c>
      <c r="G18" t="s">
        <v>1790</v>
      </c>
      <c r="H18" cm="1">
        <f t="array" ref="H18">SUMPRODUCT(('ALL 498 CONSOLIDATED NEW'!$N$2:$N$503=F$1)*(F18='ALL 498 CONSOLIDATED NEW'!$K$2:$M$503)*(ISNUMBER(MATCH('ALL 498 CONSOLIDATED NEW'!$G$2:$G$503,Table17131411212437[SCHOOL LIST],0))))</f>
        <v>0</v>
      </c>
      <c r="I18">
        <v>0</v>
      </c>
      <c r="J18">
        <f t="shared" si="1"/>
        <v>0</v>
      </c>
      <c r="K18" t="s">
        <v>1788</v>
      </c>
      <c r="L18">
        <v>105101017</v>
      </c>
      <c r="M18" cm="1">
        <f t="array" ref="M18">SUMPRODUCT(('ALL 498 CONSOLIDATED NEW'!$N$2:$N$503=K$1)*(K18='ALL 498 CONSOLIDATED NEW'!$K$2:$M$503)*(ISNUMBER(MATCH('ALL 498 CONSOLIDATED NEW'!$G$2:$G$503,Table17131411212437[SCHOOL LIST],0))))</f>
        <v>0</v>
      </c>
      <c r="N18">
        <v>0</v>
      </c>
      <c r="O18">
        <f t="shared" si="2"/>
        <v>0</v>
      </c>
    </row>
    <row r="19" spans="1:37">
      <c r="A19" t="s">
        <v>315</v>
      </c>
      <c r="B19" t="s">
        <v>1791</v>
      </c>
      <c r="C19" cm="1">
        <f t="array" ref="C19">SUMPRODUCT(('ALL 498 CONSOLIDATED NEW'!$N$2:$N$503=A$1)*(A19='ALL 498 CONSOLIDATED NEW'!$K$2:$M$503)*(ISNUMBER(MATCH('ALL 498 CONSOLIDATED NEW'!$G$2:$G$503,Table17131411212437[SCHOOL LIST],0))))</f>
        <v>0</v>
      </c>
      <c r="D19">
        <v>0</v>
      </c>
      <c r="E19">
        <f t="shared" si="0"/>
        <v>0</v>
      </c>
      <c r="F19" t="s">
        <v>315</v>
      </c>
      <c r="G19" t="s">
        <v>1792</v>
      </c>
      <c r="H19" cm="1">
        <f t="array" ref="H19">SUMPRODUCT(('ALL 498 CONSOLIDATED NEW'!$N$2:$N$503=F$1)*(F19='ALL 498 CONSOLIDATED NEW'!$K$2:$M$503)*(ISNUMBER(MATCH('ALL 498 CONSOLIDATED NEW'!$G$2:$G$503,Table17131411212437[SCHOOL LIST],0))))</f>
        <v>0</v>
      </c>
      <c r="I19">
        <v>0</v>
      </c>
      <c r="J19">
        <f t="shared" si="1"/>
        <v>0</v>
      </c>
      <c r="K19" t="s">
        <v>315</v>
      </c>
      <c r="L19">
        <v>105101018</v>
      </c>
      <c r="M19" cm="1">
        <f t="array" ref="M19">SUMPRODUCT(('ALL 498 CONSOLIDATED NEW'!$N$2:$N$503=K$1)*(K19='ALL 498 CONSOLIDATED NEW'!$K$2:$M$503)*(ISNUMBER(MATCH('ALL 498 CONSOLIDATED NEW'!$G$2:$G$503,Table17131411212437[SCHOOL LIST],0))))</f>
        <v>0</v>
      </c>
      <c r="N19">
        <v>0</v>
      </c>
      <c r="O19">
        <f t="shared" si="2"/>
        <v>0</v>
      </c>
    </row>
    <row r="20" spans="1:37">
      <c r="A20" t="s">
        <v>199</v>
      </c>
      <c r="B20" t="s">
        <v>1793</v>
      </c>
      <c r="C20" cm="1">
        <f t="array" ref="C20">SUMPRODUCT(('ALL 498 CONSOLIDATED NEW'!$N$2:$N$503=A$1)*(A20='ALL 498 CONSOLIDATED NEW'!$K$2:$M$503)*(ISNUMBER(MATCH('ALL 498 CONSOLIDATED NEW'!$G$2:$G$503,Table17131411212437[SCHOOL LIST],0))))</f>
        <v>0</v>
      </c>
      <c r="D20">
        <v>0</v>
      </c>
      <c r="E20">
        <f t="shared" si="0"/>
        <v>0</v>
      </c>
      <c r="F20" t="s">
        <v>199</v>
      </c>
      <c r="G20" t="s">
        <v>1794</v>
      </c>
      <c r="H20" cm="1">
        <f t="array" ref="H20">SUMPRODUCT(('ALL 498 CONSOLIDATED NEW'!$N$2:$N$503=F$1)*(F20='ALL 498 CONSOLIDATED NEW'!$K$2:$M$503)*(ISNUMBER(MATCH('ALL 498 CONSOLIDATED NEW'!$G$2:$G$503,Table17131411212437[SCHOOL LIST],0))))</f>
        <v>0</v>
      </c>
      <c r="I20">
        <v>0</v>
      </c>
      <c r="J20">
        <f t="shared" si="1"/>
        <v>0</v>
      </c>
      <c r="K20" t="s">
        <v>199</v>
      </c>
      <c r="L20">
        <v>105101019</v>
      </c>
      <c r="M20" cm="1">
        <f t="array" ref="M20">SUMPRODUCT(('ALL 498 CONSOLIDATED NEW'!$N$2:$N$503=K$1)*(K20='ALL 498 CONSOLIDATED NEW'!$K$2:$M$503)*(ISNUMBER(MATCH('ALL 498 CONSOLIDATED NEW'!$G$2:$G$503,Table17131411212437[SCHOOL LIST],0))))</f>
        <v>0</v>
      </c>
      <c r="N20">
        <v>0</v>
      </c>
      <c r="O20">
        <f t="shared" si="2"/>
        <v>0</v>
      </c>
    </row>
    <row r="21" spans="1:37">
      <c r="A21" t="s">
        <v>635</v>
      </c>
      <c r="B21" t="s">
        <v>1795</v>
      </c>
      <c r="C21" cm="1">
        <f t="array" ref="C21">SUMPRODUCT(('ALL 498 CONSOLIDATED NEW'!$N$2:$N$503=A$1)*(A21='ALL 498 CONSOLIDATED NEW'!$K$2:$M$503)*(ISNUMBER(MATCH('ALL 498 CONSOLIDATED NEW'!$G$2:$G$503,Table17131411212437[SCHOOL LIST],0))))</f>
        <v>0</v>
      </c>
      <c r="D21">
        <v>0</v>
      </c>
      <c r="E21">
        <f t="shared" si="0"/>
        <v>0</v>
      </c>
      <c r="F21" t="s">
        <v>635</v>
      </c>
      <c r="G21" t="s">
        <v>1796</v>
      </c>
      <c r="H21" cm="1">
        <f t="array" ref="H21">SUMPRODUCT(('ALL 498 CONSOLIDATED NEW'!$N$2:$N$503=F$1)*(F21='ALL 498 CONSOLIDATED NEW'!$K$2:$M$503)*(ISNUMBER(MATCH('ALL 498 CONSOLIDATED NEW'!$G$2:$G$503,Table17131411212437[SCHOOL LIST],0))))</f>
        <v>0</v>
      </c>
      <c r="I21">
        <v>0</v>
      </c>
      <c r="J21">
        <f t="shared" si="1"/>
        <v>0</v>
      </c>
      <c r="K21" t="s">
        <v>635</v>
      </c>
      <c r="L21">
        <v>105101020</v>
      </c>
      <c r="M21" cm="1">
        <f t="array" ref="M21">SUMPRODUCT(('ALL 498 CONSOLIDATED NEW'!$N$2:$N$503=K$1)*(K21='ALL 498 CONSOLIDATED NEW'!$K$2:$M$503)*(ISNUMBER(MATCH('ALL 498 CONSOLIDATED NEW'!$G$2:$G$503,Table17131411212437[SCHOOL LIST],0))))</f>
        <v>0</v>
      </c>
      <c r="N21">
        <v>0</v>
      </c>
      <c r="O21">
        <f t="shared" si="2"/>
        <v>0</v>
      </c>
    </row>
    <row r="22" spans="1:37" s="20" customFormat="1" ht="30.75">
      <c r="B22" s="20" t="str">
        <f>A1</f>
        <v>Palm Pen Holder</v>
      </c>
      <c r="C22" s="20">
        <f>SUM(C2:C21)</f>
        <v>15</v>
      </c>
      <c r="D22">
        <f>SUM(D2:D21)</f>
        <v>15</v>
      </c>
      <c r="E22">
        <f t="shared" si="0"/>
        <v>0</v>
      </c>
      <c r="G22" s="20" t="str">
        <f>F1</f>
        <v>TOOTH  BRUSH ADAPTER</v>
      </c>
      <c r="H22" s="20">
        <f>SUM(H2:H21)</f>
        <v>21</v>
      </c>
      <c r="I22" s="20">
        <f>SUM(I2:I21)</f>
        <v>21</v>
      </c>
      <c r="J22">
        <f t="shared" si="1"/>
        <v>0</v>
      </c>
      <c r="L22" s="20" t="str">
        <f>K1</f>
        <v>Utensil Holder</v>
      </c>
      <c r="M22" s="20">
        <f>SUM(M2:M21)</f>
        <v>15</v>
      </c>
      <c r="N22" s="20">
        <f>SUM(N2:N21)</f>
        <v>15</v>
      </c>
      <c r="O22">
        <f t="shared" si="2"/>
        <v>0</v>
      </c>
      <c r="Q22" s="20" t="str">
        <f>P1</f>
        <v>Reading Bar - Curved</v>
      </c>
      <c r="R22" s="20">
        <f>SUM(R2:R21)</f>
        <v>0</v>
      </c>
      <c r="S22" s="20">
        <f>SUM(S2:S3)</f>
        <v>0</v>
      </c>
      <c r="T22">
        <f t="shared" ref="T22" si="3">R22-S22</f>
        <v>0</v>
      </c>
      <c r="V22" s="20" t="str">
        <f>U1</f>
        <v>Assistive Pencil Grip</v>
      </c>
      <c r="W22" s="20">
        <f>SUM(W2:W21)</f>
        <v>0</v>
      </c>
      <c r="X22" s="20">
        <f>SUM(X2:X3)</f>
        <v>0</v>
      </c>
      <c r="Y22" s="20">
        <f t="shared" ref="Y22" si="4">W22-X22</f>
        <v>0</v>
      </c>
      <c r="AA22" s="20" t="str">
        <f>Z1</f>
        <v>Button Aid</v>
      </c>
      <c r="AB22" s="20">
        <f>SUM(AB2:AB21)</f>
        <v>4</v>
      </c>
      <c r="AC22" s="20">
        <f>SUM(AC2:AC3)</f>
        <v>4</v>
      </c>
      <c r="AD22" s="20">
        <f t="shared" ref="AD22" si="5">AB22-AC22</f>
        <v>0</v>
      </c>
      <c r="AF22" s="20" t="str">
        <f>AE1</f>
        <v>LOW PROFILE SWITCH</v>
      </c>
      <c r="AG22" s="20">
        <f>SUM(AG2:AG21)</f>
        <v>0</v>
      </c>
      <c r="AH22" s="20">
        <f>SUM(AH2:AH3)</f>
        <v>0</v>
      </c>
      <c r="AI22" s="20">
        <f t="shared" ref="AI22" si="6">AG22-AH22</f>
        <v>0</v>
      </c>
      <c r="AJ22" s="20">
        <f>SUM(AG22,C22,H22,M22,R22,W22,AB22)</f>
        <v>55</v>
      </c>
      <c r="AK22" s="20" t="s">
        <v>1774</v>
      </c>
    </row>
    <row r="23" spans="1:37">
      <c r="AJ23">
        <f>SUM(C22,H22,M22,R22,W22,AB22)</f>
        <v>55</v>
      </c>
      <c r="AK23" t="s">
        <v>1797</v>
      </c>
    </row>
    <row r="24" spans="1:37">
      <c r="AJ24" s="113">
        <f>SUM(E22,J22,O22,T22,Y22,AD22)</f>
        <v>0</v>
      </c>
      <c r="AK24" s="113" t="s">
        <v>1798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1267-1DFC-4E92-9BC2-F92603B4C4C7}">
  <dimension ref="A1:AO24"/>
  <sheetViews>
    <sheetView workbookViewId="0">
      <pane ySplit="1" topLeftCell="A14" activePane="bottomLeft" state="frozen"/>
      <selection pane="bottomLeft" activeCell="N18" sqref="N18"/>
    </sheetView>
  </sheetViews>
  <sheetFormatPr defaultRowHeight="15"/>
  <cols>
    <col min="2" max="2" width="10" customWidth="1"/>
    <col min="3" max="5" width="4.42578125" customWidth="1"/>
    <col min="7" max="7" width="10.140625" customWidth="1"/>
    <col min="8" max="10" width="5.28515625" customWidth="1"/>
    <col min="12" max="12" width="10.85546875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 ht="45.75">
      <c r="A1" s="20" t="s">
        <v>111</v>
      </c>
      <c r="C1" s="20" t="s">
        <v>1747</v>
      </c>
      <c r="D1" s="20" t="s">
        <v>1748</v>
      </c>
      <c r="E1" s="20" t="s">
        <v>1749</v>
      </c>
      <c r="F1" s="20" t="s">
        <v>162</v>
      </c>
      <c r="H1" s="20" t="s">
        <v>1747</v>
      </c>
      <c r="I1" s="20" t="s">
        <v>1748</v>
      </c>
      <c r="J1" s="20" t="s">
        <v>1749</v>
      </c>
      <c r="K1" s="20" t="s">
        <v>117</v>
      </c>
      <c r="M1" s="20" t="s">
        <v>1747</v>
      </c>
      <c r="N1" s="20" t="s">
        <v>1748</v>
      </c>
      <c r="O1" s="20" t="s">
        <v>1749</v>
      </c>
      <c r="P1" s="20" t="s">
        <v>188</v>
      </c>
      <c r="R1" s="20" t="s">
        <v>1747</v>
      </c>
      <c r="S1" s="20" t="s">
        <v>1748</v>
      </c>
      <c r="T1" s="20" t="s">
        <v>1749</v>
      </c>
      <c r="U1" s="20" t="s">
        <v>16</v>
      </c>
      <c r="W1" s="20" t="s">
        <v>1747</v>
      </c>
      <c r="X1" s="20" t="s">
        <v>1748</v>
      </c>
      <c r="Y1" s="20" t="s">
        <v>1749</v>
      </c>
      <c r="Z1" s="20" t="s">
        <v>122</v>
      </c>
      <c r="AB1" s="20" t="s">
        <v>1747</v>
      </c>
      <c r="AC1" s="20" t="s">
        <v>1748</v>
      </c>
      <c r="AD1" s="20" t="s">
        <v>1749</v>
      </c>
      <c r="AE1" s="20" t="s">
        <v>12</v>
      </c>
      <c r="AG1" s="20" t="s">
        <v>1747</v>
      </c>
      <c r="AH1" s="20" t="s">
        <v>1748</v>
      </c>
      <c r="AI1" s="20" t="s">
        <v>1749</v>
      </c>
      <c r="AL1" t="s">
        <v>1750</v>
      </c>
    </row>
    <row r="2" spans="1:41">
      <c r="A2" t="s">
        <v>116</v>
      </c>
      <c r="B2" t="s">
        <v>1751</v>
      </c>
      <c r="C2" cm="1">
        <f t="array" ref="C2">SUMPRODUCT(('ALL 498 CONSOLIDATED NEW'!$N$2:$N$503=A$1)*(A2='ALL 498 CONSOLIDATED NEW'!$K$2:$M$503)*(ISNUMBER(MATCH('ALL 498 CONSOLIDATED NEW'!$G$2:$G$503,Table17131411212441[SCHOOL LIST],0))))</f>
        <v>4</v>
      </c>
      <c r="D2">
        <v>4</v>
      </c>
      <c r="E2">
        <f>C2-D2</f>
        <v>0</v>
      </c>
      <c r="F2" t="s">
        <v>116</v>
      </c>
      <c r="G2" t="s">
        <v>1752</v>
      </c>
      <c r="H2" cm="1">
        <f t="array" ref="H2">SUMPRODUCT(('ALL 498 CONSOLIDATED NEW'!$N$2:$N$503=F$1)*(F2='ALL 498 CONSOLIDATED NEW'!$K$2:$M$503)*(ISNUMBER(MATCH('ALL 498 CONSOLIDATED NEW'!$G$2:$G$503,Table17131411212441[SCHOOL LIST],0))))</f>
        <v>1</v>
      </c>
      <c r="I2">
        <v>1</v>
      </c>
      <c r="J2">
        <f>H2-I2</f>
        <v>0</v>
      </c>
      <c r="K2" t="s">
        <v>116</v>
      </c>
      <c r="L2">
        <v>105101001</v>
      </c>
      <c r="M2" cm="1">
        <f t="array" ref="M2">SUMPRODUCT(('ALL 498 CONSOLIDATED NEW'!$N$2:$N$503=K$1)*(K2='ALL 498 CONSOLIDATED NEW'!$K$2:$M$503)*(ISNUMBER(MATCH('ALL 498 CONSOLIDATED NEW'!$G$2:$G$503,Table17131411212441[SCHOOL LIST],0))))</f>
        <v>2</v>
      </c>
      <c r="N2">
        <v>2</v>
      </c>
      <c r="O2">
        <f>M2-N2</f>
        <v>0</v>
      </c>
      <c r="P2" t="s">
        <v>186</v>
      </c>
      <c r="Q2">
        <v>302202001</v>
      </c>
      <c r="R2" cm="1">
        <f t="array" ref="R2">SUMPRODUCT(('ALL 498 CONSOLIDATED NEW'!$N$2:$N$503=P$1)*(P2='ALL 498 CONSOLIDATED NEW'!$K$2:$M$503)*(ISNUMBER(MATCH('ALL 498 CONSOLIDATED NEW'!$G$2:$G$503,Table17131411212441[SCHOOL LIST],0))))</f>
        <v>0</v>
      </c>
      <c r="S2">
        <v>0</v>
      </c>
      <c r="T2">
        <f>R2-S2</f>
        <v>0</v>
      </c>
      <c r="U2" t="s">
        <v>1313</v>
      </c>
      <c r="V2">
        <v>301201999</v>
      </c>
      <c r="W2" cm="1">
        <f t="array" ref="W2">SUMPRODUCT(('ALL 498 CONSOLIDATED NEW'!$N$2:$N$503=U$1)*(U2='ALL 498 CONSOLIDATED NEW'!$K$2:$M$503)*(ISNUMBER(MATCH('ALL 498 CONSOLIDATED NEW'!$G$2:$G$503,Table17131411212441[SCHOOL LIST],0))))</f>
        <v>0</v>
      </c>
      <c r="X2">
        <v>0</v>
      </c>
      <c r="Y2">
        <f>W2-X2</f>
        <v>0</v>
      </c>
      <c r="Z2" t="s">
        <v>1321</v>
      </c>
      <c r="AA2">
        <v>104104009</v>
      </c>
      <c r="AB2" cm="1">
        <f t="array" ref="AB2">SUMPRODUCT(('ALL 498 CONSOLIDATED NEW'!$N$2:$N$503=Z$1)*(Z2='ALL 498 CONSOLIDATED NEW'!$K$2:$M$503)*(ISNUMBER(MATCH('ALL 498 CONSOLIDATED NEW'!$G$2:$G$503,Table17131411212441[SCHOOL LIST],0))))</f>
        <v>0</v>
      </c>
      <c r="AC2">
        <v>0</v>
      </c>
      <c r="AD2">
        <f>AB2-AC2</f>
        <v>0</v>
      </c>
      <c r="AE2" t="s">
        <v>1365</v>
      </c>
      <c r="AF2">
        <v>204301999</v>
      </c>
      <c r="AG2" cm="1">
        <f t="array" ref="AG2">SUMPRODUCT(('ALL 498 CONSOLIDATED NEW'!$N$2:$N$503=AE$1)*(AE2='ALL 498 CONSOLIDATED NEW'!$K$2:$M$503)*(ISNUMBER(MATCH('ALL 498 CONSOLIDATED NEW'!$G$2:$G$503,Table17131411212441[SCHOOL LIST],0))))</f>
        <v>0</v>
      </c>
      <c r="AH2">
        <v>0</v>
      </c>
      <c r="AI2">
        <f>AG2-AH2</f>
        <v>0</v>
      </c>
      <c r="AL2" s="56" t="s">
        <v>63</v>
      </c>
    </row>
    <row r="3" spans="1:41">
      <c r="A3" t="s">
        <v>1753</v>
      </c>
      <c r="B3" t="s">
        <v>1754</v>
      </c>
      <c r="C3" cm="1">
        <f t="array" ref="C3">SUMPRODUCT(('ALL 498 CONSOLIDATED NEW'!$N$2:$N$503=A$1)*(A3='ALL 498 CONSOLIDATED NEW'!$K$2:$M$503)*(ISNUMBER(MATCH('ALL 498 CONSOLIDATED NEW'!$G$2:$G$503,Table17131411212441[SCHOOL LIST],0))))</f>
        <v>0</v>
      </c>
      <c r="D3">
        <v>0</v>
      </c>
      <c r="E3">
        <f t="shared" ref="E3:E22" si="0">C3-D3</f>
        <v>0</v>
      </c>
      <c r="F3" t="s">
        <v>1753</v>
      </c>
      <c r="G3" t="s">
        <v>1755</v>
      </c>
      <c r="H3" cm="1">
        <f t="array" ref="H3">SUMPRODUCT(('ALL 498 CONSOLIDATED NEW'!$N$2:$N$503=F$1)*(F3='ALL 498 CONSOLIDATED NEW'!$K$2:$M$503)*(ISNUMBER(MATCH('ALL 498 CONSOLIDATED NEW'!$G$2:$G$503,Table17131411212441[SCHOOL LIST],0))))</f>
        <v>0</v>
      </c>
      <c r="I3">
        <v>0</v>
      </c>
      <c r="J3">
        <f t="shared" ref="J3:J22" si="1">H3-I3</f>
        <v>0</v>
      </c>
      <c r="K3" t="s">
        <v>1753</v>
      </c>
      <c r="L3">
        <v>105101002</v>
      </c>
      <c r="M3" cm="1">
        <f t="array" ref="M3">SUMPRODUCT(('ALL 498 CONSOLIDATED NEW'!$N$2:$N$503=K$1)*(K3='ALL 498 CONSOLIDATED NEW'!$K$2:$M$503)*(ISNUMBER(MATCH('ALL 498 CONSOLIDATED NEW'!$G$2:$G$503,Table17131411212441[SCHOOL LIST],0))))</f>
        <v>0</v>
      </c>
      <c r="N3">
        <v>0</v>
      </c>
      <c r="O3">
        <f t="shared" ref="O3:O22" si="2">M3-N3</f>
        <v>0</v>
      </c>
      <c r="P3" t="s">
        <v>187</v>
      </c>
      <c r="Q3" t="s">
        <v>1756</v>
      </c>
      <c r="R3" cm="1">
        <f t="array" ref="R3">SUMPRODUCT(('ALL 498 CONSOLIDATED NEW'!$N$2:$N$503=P$1)*(P3='ALL 498 CONSOLIDATED NEW'!$K$2:$M$503)*(ISNUMBER(MATCH('ALL 498 CONSOLIDATED NEW'!$G$2:$G$503,Table17131411212441[SCHOOL LIST],0))))</f>
        <v>0</v>
      </c>
      <c r="S3">
        <v>0</v>
      </c>
      <c r="T3">
        <f>R3-S3</f>
        <v>0</v>
      </c>
      <c r="AL3" s="56" t="s">
        <v>45</v>
      </c>
      <c r="AM3" t="s">
        <v>1291</v>
      </c>
      <c r="AN3" t="s">
        <v>1304</v>
      </c>
      <c r="AO3" t="s">
        <v>1293</v>
      </c>
    </row>
    <row r="4" spans="1:41">
      <c r="A4" t="s">
        <v>109</v>
      </c>
      <c r="B4" t="s">
        <v>1757</v>
      </c>
      <c r="C4" cm="1">
        <f t="array" ref="C4">SUMPRODUCT(('ALL 498 CONSOLIDATED NEW'!$N$2:$N$503=A$1)*(A4='ALL 498 CONSOLIDATED NEW'!$K$2:$M$503)*(ISNUMBER(MATCH('ALL 498 CONSOLIDATED NEW'!$G$2:$G$503,Table17131411212441[SCHOOL LIST],0))))</f>
        <v>1</v>
      </c>
      <c r="D4">
        <v>1</v>
      </c>
      <c r="E4">
        <f t="shared" si="0"/>
        <v>0</v>
      </c>
      <c r="F4" t="s">
        <v>109</v>
      </c>
      <c r="G4" t="s">
        <v>1758</v>
      </c>
      <c r="H4" cm="1">
        <f t="array" ref="H4">SUMPRODUCT(('ALL 498 CONSOLIDATED NEW'!$N$2:$N$503=F$1)*(F4='ALL 498 CONSOLIDATED NEW'!$K$2:$M$503)*(ISNUMBER(MATCH('ALL 498 CONSOLIDATED NEW'!$G$2:$G$503,Table17131411212441[SCHOOL LIST],0))))</f>
        <v>3</v>
      </c>
      <c r="I4">
        <v>3</v>
      </c>
      <c r="J4">
        <f t="shared" si="1"/>
        <v>0</v>
      </c>
      <c r="K4" t="s">
        <v>109</v>
      </c>
      <c r="L4">
        <v>105101003</v>
      </c>
      <c r="M4" cm="1">
        <f t="array" ref="M4">SUMPRODUCT(('ALL 498 CONSOLIDATED NEW'!$N$2:$N$503=K$1)*(K4='ALL 498 CONSOLIDATED NEW'!$K$2:$M$503)*(ISNUMBER(MATCH('ALL 498 CONSOLIDATED NEW'!$G$2:$G$503,Table17131411212441[SCHOOL LIST],0))))</f>
        <v>1</v>
      </c>
      <c r="N4">
        <v>1</v>
      </c>
      <c r="O4">
        <f t="shared" si="2"/>
        <v>0</v>
      </c>
      <c r="AL4" s="56" t="s">
        <v>74</v>
      </c>
      <c r="AM4">
        <v>1</v>
      </c>
      <c r="AN4" t="s">
        <v>111</v>
      </c>
      <c r="AO4">
        <f>C22/3</f>
        <v>20</v>
      </c>
    </row>
    <row r="5" spans="1:41">
      <c r="A5" t="s">
        <v>1759</v>
      </c>
      <c r="B5" t="s">
        <v>1760</v>
      </c>
      <c r="C5" cm="1">
        <f t="array" ref="C5">SUMPRODUCT(('ALL 498 CONSOLIDATED NEW'!$N$2:$N$503=A$1)*(A5='ALL 498 CONSOLIDATED NEW'!$K$2:$M$503)*(ISNUMBER(MATCH('ALL 498 CONSOLIDATED NEW'!$G$2:$G$503,Table17131411212441[SCHOOL LIST],0))))</f>
        <v>0</v>
      </c>
      <c r="D5">
        <v>0</v>
      </c>
      <c r="E5">
        <f t="shared" si="0"/>
        <v>0</v>
      </c>
      <c r="F5" t="s">
        <v>1759</v>
      </c>
      <c r="G5" t="s">
        <v>1761</v>
      </c>
      <c r="H5" cm="1">
        <f t="array" ref="H5">SUMPRODUCT(('ALL 498 CONSOLIDATED NEW'!$N$2:$N$503=F$1)*(F5='ALL 498 CONSOLIDATED NEW'!$K$2:$M$503)*(ISNUMBER(MATCH('ALL 498 CONSOLIDATED NEW'!$G$2:$G$503,Table17131411212441[SCHOOL LIST],0))))</f>
        <v>0</v>
      </c>
      <c r="I5">
        <v>0</v>
      </c>
      <c r="J5">
        <f t="shared" si="1"/>
        <v>0</v>
      </c>
      <c r="K5" t="s">
        <v>1759</v>
      </c>
      <c r="L5">
        <v>105101004</v>
      </c>
      <c r="M5" cm="1">
        <f t="array" ref="M5">SUMPRODUCT(('ALL 498 CONSOLIDATED NEW'!$N$2:$N$503=K$1)*(K5='ALL 498 CONSOLIDATED NEW'!$K$2:$M$503)*(ISNUMBER(MATCH('ALL 498 CONSOLIDATED NEW'!$G$2:$G$503,Table17131411212441[SCHOOL LIST],0))))</f>
        <v>0</v>
      </c>
      <c r="N5">
        <v>0</v>
      </c>
      <c r="O5">
        <f t="shared" si="2"/>
        <v>0</v>
      </c>
      <c r="AL5" s="56" t="s">
        <v>70</v>
      </c>
      <c r="AM5">
        <v>2</v>
      </c>
      <c r="AN5" t="s">
        <v>162</v>
      </c>
      <c r="AO5">
        <f>H22/3</f>
        <v>9</v>
      </c>
    </row>
    <row r="6" spans="1:41">
      <c r="A6" t="s">
        <v>130</v>
      </c>
      <c r="B6" t="s">
        <v>1762</v>
      </c>
      <c r="C6" cm="1">
        <f t="array" ref="C6">SUMPRODUCT(('ALL 498 CONSOLIDATED NEW'!$N$2:$N$503=A$1)*(A6='ALL 498 CONSOLIDATED NEW'!$K$2:$M$503)*(ISNUMBER(MATCH('ALL 498 CONSOLIDATED NEW'!$G$2:$G$503,Table17131411212441[SCHOOL LIST],0))))</f>
        <v>2</v>
      </c>
      <c r="D6">
        <v>2</v>
      </c>
      <c r="E6">
        <f t="shared" si="0"/>
        <v>0</v>
      </c>
      <c r="F6" t="s">
        <v>130</v>
      </c>
      <c r="G6" t="s">
        <v>1763</v>
      </c>
      <c r="H6" cm="1">
        <f t="array" ref="H6">SUMPRODUCT(('ALL 498 CONSOLIDATED NEW'!$N$2:$N$503=F$1)*(F6='ALL 498 CONSOLIDATED NEW'!$K$2:$M$503)*(ISNUMBER(MATCH('ALL 498 CONSOLIDATED NEW'!$G$2:$G$503,Table17131411212441[SCHOOL LIST],0))))</f>
        <v>0</v>
      </c>
      <c r="I6">
        <v>0</v>
      </c>
      <c r="J6">
        <f t="shared" si="1"/>
        <v>0</v>
      </c>
      <c r="K6" t="s">
        <v>130</v>
      </c>
      <c r="L6">
        <v>105101005</v>
      </c>
      <c r="M6" cm="1">
        <f t="array" ref="M6">SUMPRODUCT(('ALL 498 CONSOLIDATED NEW'!$N$2:$N$503=K$1)*(K6='ALL 498 CONSOLIDATED NEW'!$K$2:$M$503)*(ISNUMBER(MATCH('ALL 498 CONSOLIDATED NEW'!$G$2:$G$503,Table17131411212441[SCHOOL LIST],0))))</f>
        <v>1</v>
      </c>
      <c r="N6">
        <v>1</v>
      </c>
      <c r="O6">
        <f t="shared" si="2"/>
        <v>0</v>
      </c>
      <c r="AL6" s="56"/>
      <c r="AM6">
        <v>3</v>
      </c>
      <c r="AN6" t="s">
        <v>117</v>
      </c>
      <c r="AO6">
        <f>M22/3</f>
        <v>12</v>
      </c>
    </row>
    <row r="7" spans="1:41">
      <c r="A7" t="s">
        <v>443</v>
      </c>
      <c r="B7" t="s">
        <v>1764</v>
      </c>
      <c r="C7" cm="1">
        <f t="array" ref="C7">SUMPRODUCT(('ALL 498 CONSOLIDATED NEW'!$N$2:$N$503=A$1)*(A7='ALL 498 CONSOLIDATED NEW'!$K$2:$M$503)*(ISNUMBER(MATCH('ALL 498 CONSOLIDATED NEW'!$G$2:$G$503,Table17131411212441[SCHOOL LIST],0))))</f>
        <v>0</v>
      </c>
      <c r="D7">
        <v>0</v>
      </c>
      <c r="E7">
        <f t="shared" si="0"/>
        <v>0</v>
      </c>
      <c r="F7" t="s">
        <v>443</v>
      </c>
      <c r="G7" t="s">
        <v>1765</v>
      </c>
      <c r="H7" cm="1">
        <f t="array" ref="H7">SUMPRODUCT(('ALL 498 CONSOLIDATED NEW'!$N$2:$N$503=F$1)*(F7='ALL 498 CONSOLIDATED NEW'!$K$2:$M$503)*(ISNUMBER(MATCH('ALL 498 CONSOLIDATED NEW'!$G$2:$G$503,Table17131411212441[SCHOOL LIST],0))))</f>
        <v>0</v>
      </c>
      <c r="I7">
        <v>0</v>
      </c>
      <c r="J7">
        <f t="shared" si="1"/>
        <v>0</v>
      </c>
      <c r="K7" t="s">
        <v>443</v>
      </c>
      <c r="L7">
        <v>105101006</v>
      </c>
      <c r="M7" cm="1">
        <f t="array" ref="M7">SUMPRODUCT(('ALL 498 CONSOLIDATED NEW'!$N$2:$N$503=K$1)*(K7='ALL 498 CONSOLIDATED NEW'!$K$2:$M$503)*(ISNUMBER(MATCH('ALL 498 CONSOLIDATED NEW'!$G$2:$G$503,Table17131411212441[SCHOOL LIST],0))))</f>
        <v>0</v>
      </c>
      <c r="N7">
        <v>0</v>
      </c>
      <c r="O7">
        <f t="shared" si="2"/>
        <v>0</v>
      </c>
      <c r="AL7" s="87"/>
      <c r="AM7">
        <v>4</v>
      </c>
      <c r="AN7" t="s">
        <v>188</v>
      </c>
      <c r="AO7">
        <f>R22/2</f>
        <v>0</v>
      </c>
    </row>
    <row r="8" spans="1:41">
      <c r="A8" t="s">
        <v>110</v>
      </c>
      <c r="B8" t="s">
        <v>1766</v>
      </c>
      <c r="C8" cm="1">
        <f t="array" ref="C8">SUMPRODUCT(('ALL 498 CONSOLIDATED NEW'!$N$2:$N$503=A$1)*(A8='ALL 498 CONSOLIDATED NEW'!$K$2:$M$503)*(ISNUMBER(MATCH('ALL 498 CONSOLIDATED NEW'!$G$2:$G$503,Table17131411212441[SCHOOL LIST],0))))</f>
        <v>7</v>
      </c>
      <c r="D8">
        <v>7</v>
      </c>
      <c r="E8">
        <f t="shared" si="0"/>
        <v>0</v>
      </c>
      <c r="F8" t="s">
        <v>110</v>
      </c>
      <c r="G8" t="s">
        <v>1767</v>
      </c>
      <c r="H8" cm="1">
        <f t="array" ref="H8">SUMPRODUCT(('ALL 498 CONSOLIDATED NEW'!$N$2:$N$503=F$1)*(F8='ALL 498 CONSOLIDATED NEW'!$K$2:$M$503)*(ISNUMBER(MATCH('ALL 498 CONSOLIDATED NEW'!$G$2:$G$503,Table17131411212441[SCHOOL LIST],0))))</f>
        <v>3</v>
      </c>
      <c r="I8">
        <v>3</v>
      </c>
      <c r="J8">
        <f t="shared" si="1"/>
        <v>0</v>
      </c>
      <c r="K8" t="s">
        <v>110</v>
      </c>
      <c r="L8">
        <v>105101007</v>
      </c>
      <c r="M8" cm="1">
        <f t="array" ref="M8">SUMPRODUCT(('ALL 498 CONSOLIDATED NEW'!$N$2:$N$503=K$1)*(K8='ALL 498 CONSOLIDATED NEW'!$K$2:$M$503)*(ISNUMBER(MATCH('ALL 498 CONSOLIDATED NEW'!$G$2:$G$503,Table17131411212441[SCHOOL LIST],0))))</f>
        <v>4</v>
      </c>
      <c r="N8">
        <v>4</v>
      </c>
      <c r="O8">
        <f t="shared" si="2"/>
        <v>0</v>
      </c>
      <c r="AL8" s="56"/>
      <c r="AM8">
        <v>5</v>
      </c>
      <c r="AN8" t="s">
        <v>16</v>
      </c>
      <c r="AO8">
        <f>W22/2</f>
        <v>0</v>
      </c>
    </row>
    <row r="9" spans="1:41">
      <c r="A9" t="s">
        <v>108</v>
      </c>
      <c r="B9" t="s">
        <v>1768</v>
      </c>
      <c r="C9" cm="1">
        <f t="array" ref="C9">SUMPRODUCT(('ALL 498 CONSOLIDATED NEW'!$N$2:$N$503=A$1)*(A9='ALL 498 CONSOLIDATED NEW'!$K$2:$M$503)*(ISNUMBER(MATCH('ALL 498 CONSOLIDATED NEW'!$G$2:$G$503,Table17131411212441[SCHOOL LIST],0))))</f>
        <v>6</v>
      </c>
      <c r="D9">
        <v>6</v>
      </c>
      <c r="E9">
        <f t="shared" si="0"/>
        <v>0</v>
      </c>
      <c r="F9" t="s">
        <v>108</v>
      </c>
      <c r="G9" t="s">
        <v>1769</v>
      </c>
      <c r="H9" cm="1">
        <f t="array" ref="H9">SUMPRODUCT(('ALL 498 CONSOLIDATED NEW'!$N$2:$N$503=F$1)*(F9='ALL 498 CONSOLIDATED NEW'!$K$2:$M$503)*(ISNUMBER(MATCH('ALL 498 CONSOLIDATED NEW'!$G$2:$G$503,Table17131411212441[SCHOOL LIST],0))))</f>
        <v>4</v>
      </c>
      <c r="I9">
        <v>4</v>
      </c>
      <c r="J9">
        <f t="shared" si="1"/>
        <v>0</v>
      </c>
      <c r="K9" t="s">
        <v>108</v>
      </c>
      <c r="L9">
        <v>105101008</v>
      </c>
      <c r="M9" cm="1">
        <f t="array" ref="M9">SUMPRODUCT(('ALL 498 CONSOLIDATED NEW'!$N$2:$N$503=K$1)*(K9='ALL 498 CONSOLIDATED NEW'!$K$2:$M$503)*(ISNUMBER(MATCH('ALL 498 CONSOLIDATED NEW'!$G$2:$G$503,Table17131411212441[SCHOOL LIST],0))))</f>
        <v>2</v>
      </c>
      <c r="N9">
        <v>2</v>
      </c>
      <c r="O9">
        <f t="shared" si="2"/>
        <v>0</v>
      </c>
      <c r="AL9" s="56"/>
      <c r="AM9">
        <v>6</v>
      </c>
      <c r="AN9" t="s">
        <v>122</v>
      </c>
      <c r="AO9">
        <f>AB22</f>
        <v>0</v>
      </c>
    </row>
    <row r="10" spans="1:41">
      <c r="A10" t="s">
        <v>250</v>
      </c>
      <c r="B10" t="s">
        <v>1770</v>
      </c>
      <c r="C10" cm="1">
        <f t="array" ref="C10">SUMPRODUCT(('ALL 498 CONSOLIDATED NEW'!$N$2:$N$503=A$1)*(A10='ALL 498 CONSOLIDATED NEW'!$K$2:$M$503)*(ISNUMBER(MATCH('ALL 498 CONSOLIDATED NEW'!$G$2:$G$503,Table17131411212441[SCHOOL LIST],0))))</f>
        <v>0</v>
      </c>
      <c r="D10">
        <v>0</v>
      </c>
      <c r="E10">
        <f t="shared" si="0"/>
        <v>0</v>
      </c>
      <c r="F10" t="s">
        <v>250</v>
      </c>
      <c r="G10" t="s">
        <v>1771</v>
      </c>
      <c r="H10" cm="1">
        <f t="array" ref="H10">SUMPRODUCT(('ALL 498 CONSOLIDATED NEW'!$N$2:$N$503=F$1)*(F10='ALL 498 CONSOLIDATED NEW'!$K$2:$M$503)*(ISNUMBER(MATCH('ALL 498 CONSOLIDATED NEW'!$G$2:$G$503,Table17131411212441[SCHOOL LIST],0))))</f>
        <v>0</v>
      </c>
      <c r="I10">
        <v>0</v>
      </c>
      <c r="J10">
        <f t="shared" si="1"/>
        <v>0</v>
      </c>
      <c r="K10" t="s">
        <v>250</v>
      </c>
      <c r="L10">
        <v>105101009</v>
      </c>
      <c r="M10" cm="1">
        <f t="array" ref="M10">SUMPRODUCT(('ALL 498 CONSOLIDATED NEW'!$N$2:$N$503=K$1)*(K10='ALL 498 CONSOLIDATED NEW'!$K$2:$M$503)*(ISNUMBER(MATCH('ALL 498 CONSOLIDATED NEW'!$G$2:$G$503,Table17131411212441[SCHOOL LIST],0))))</f>
        <v>0</v>
      </c>
      <c r="N10">
        <v>0</v>
      </c>
      <c r="O10">
        <f t="shared" si="2"/>
        <v>0</v>
      </c>
      <c r="AL10" s="56"/>
      <c r="AM10">
        <v>7</v>
      </c>
      <c r="AN10" t="s">
        <v>12</v>
      </c>
      <c r="AO10">
        <f>AG22</f>
        <v>0</v>
      </c>
    </row>
    <row r="11" spans="1:41">
      <c r="A11" t="s">
        <v>135</v>
      </c>
      <c r="B11" t="s">
        <v>1772</v>
      </c>
      <c r="C11" cm="1">
        <f t="array" ref="C11">SUMPRODUCT(('ALL 498 CONSOLIDATED NEW'!$N$2:$N$503=A$1)*(A11='ALL 498 CONSOLIDATED NEW'!$K$2:$M$503)*(ISNUMBER(MATCH('ALL 498 CONSOLIDATED NEW'!$G$2:$G$503,Table17131411212441[SCHOOL LIST],0))))</f>
        <v>11</v>
      </c>
      <c r="D11">
        <v>11</v>
      </c>
      <c r="E11">
        <f t="shared" si="0"/>
        <v>0</v>
      </c>
      <c r="F11" t="s">
        <v>135</v>
      </c>
      <c r="G11" t="s">
        <v>1773</v>
      </c>
      <c r="H11" cm="1">
        <f t="array" ref="H11">SUMPRODUCT(('ALL 498 CONSOLIDATED NEW'!$N$2:$N$503=F$1)*(F11='ALL 498 CONSOLIDATED NEW'!$K$2:$M$503)*(ISNUMBER(MATCH('ALL 498 CONSOLIDATED NEW'!$G$2:$G$503,Table17131411212441[SCHOOL LIST],0))))</f>
        <v>4</v>
      </c>
      <c r="I11">
        <v>4</v>
      </c>
      <c r="J11">
        <f t="shared" si="1"/>
        <v>0</v>
      </c>
      <c r="K11" t="s">
        <v>135</v>
      </c>
      <c r="L11">
        <v>105101010</v>
      </c>
      <c r="M11" cm="1">
        <f t="array" ref="M11">SUMPRODUCT(('ALL 498 CONSOLIDATED NEW'!$N$2:$N$503=K$1)*(K11='ALL 498 CONSOLIDATED NEW'!$K$2:$M$503)*(ISNUMBER(MATCH('ALL 498 CONSOLIDATED NEW'!$G$2:$G$503,Table17131411212441[SCHOOL LIST],0))))</f>
        <v>5</v>
      </c>
      <c r="N11">
        <v>5</v>
      </c>
      <c r="O11">
        <f t="shared" si="2"/>
        <v>0</v>
      </c>
      <c r="AL11" s="56"/>
      <c r="AN11" s="99" t="s">
        <v>1774</v>
      </c>
      <c r="AO11">
        <f>SUM(AO4:AO10)</f>
        <v>41</v>
      </c>
    </row>
    <row r="12" spans="1:41">
      <c r="A12" t="s">
        <v>150</v>
      </c>
      <c r="B12" t="s">
        <v>1775</v>
      </c>
      <c r="C12" cm="1">
        <f t="array" ref="C12">SUMPRODUCT(('ALL 498 CONSOLIDATED NEW'!$N$2:$N$503=A$1)*(A12='ALL 498 CONSOLIDATED NEW'!$K$2:$M$503)*(ISNUMBER(MATCH('ALL 498 CONSOLIDATED NEW'!$G$2:$G$503,Table17131411212441[SCHOOL LIST],0))))</f>
        <v>4</v>
      </c>
      <c r="D12">
        <v>4</v>
      </c>
      <c r="E12">
        <f t="shared" si="0"/>
        <v>0</v>
      </c>
      <c r="F12" t="s">
        <v>150</v>
      </c>
      <c r="G12" t="s">
        <v>1776</v>
      </c>
      <c r="H12" cm="1">
        <f t="array" ref="H12">SUMPRODUCT(('ALL 498 CONSOLIDATED NEW'!$N$2:$N$503=F$1)*(F12='ALL 498 CONSOLIDATED NEW'!$K$2:$M$503)*(ISNUMBER(MATCH('ALL 498 CONSOLIDATED NEW'!$G$2:$G$503,Table17131411212441[SCHOOL LIST],0))))</f>
        <v>0</v>
      </c>
      <c r="I12">
        <v>0</v>
      </c>
      <c r="J12">
        <f t="shared" si="1"/>
        <v>0</v>
      </c>
      <c r="K12" t="s">
        <v>150</v>
      </c>
      <c r="L12">
        <v>105101011</v>
      </c>
      <c r="M12" cm="1">
        <f t="array" ref="M12">SUMPRODUCT(('ALL 498 CONSOLIDATED NEW'!$N$2:$N$503=K$1)*(K12='ALL 498 CONSOLIDATED NEW'!$K$2:$M$503)*(ISNUMBER(MATCH('ALL 498 CONSOLIDATED NEW'!$G$2:$G$503,Table17131411212441[SCHOOL LIST],0))))</f>
        <v>0</v>
      </c>
      <c r="N12">
        <v>0</v>
      </c>
      <c r="O12">
        <f t="shared" si="2"/>
        <v>0</v>
      </c>
      <c r="AL12" s="56"/>
      <c r="AN12" s="99" t="s">
        <v>1777</v>
      </c>
      <c r="AO12">
        <f>SUM(AO4:AO9)</f>
        <v>41</v>
      </c>
    </row>
    <row r="13" spans="1:41">
      <c r="A13" t="s">
        <v>846</v>
      </c>
      <c r="B13" t="s">
        <v>1778</v>
      </c>
      <c r="C13" cm="1">
        <f t="array" ref="C13">SUMPRODUCT(('ALL 498 CONSOLIDATED NEW'!$N$2:$N$503=A$1)*(A13='ALL 498 CONSOLIDATED NEW'!$K$2:$M$503)*(ISNUMBER(MATCH('ALL 498 CONSOLIDATED NEW'!$G$2:$G$503,Table17131411212441[SCHOOL LIST],0))))</f>
        <v>0</v>
      </c>
      <c r="D13">
        <v>0</v>
      </c>
      <c r="E13">
        <f t="shared" si="0"/>
        <v>0</v>
      </c>
      <c r="F13" t="s">
        <v>846</v>
      </c>
      <c r="G13" t="s">
        <v>1779</v>
      </c>
      <c r="H13" cm="1">
        <f t="array" ref="H13">SUMPRODUCT(('ALL 498 CONSOLIDATED NEW'!$N$2:$N$503=F$1)*(F13='ALL 498 CONSOLIDATED NEW'!$K$2:$M$503)*(ISNUMBER(MATCH('ALL 498 CONSOLIDATED NEW'!$G$2:$G$503,Table17131411212441[SCHOOL LIST],0))))</f>
        <v>0</v>
      </c>
      <c r="I13">
        <v>0</v>
      </c>
      <c r="J13">
        <f t="shared" si="1"/>
        <v>0</v>
      </c>
      <c r="K13" t="s">
        <v>846</v>
      </c>
      <c r="L13">
        <v>105101012</v>
      </c>
      <c r="M13" cm="1">
        <f t="array" ref="M13">SUMPRODUCT(('ALL 498 CONSOLIDATED NEW'!$N$2:$N$503=K$1)*(K13='ALL 498 CONSOLIDATED NEW'!$K$2:$M$503)*(ISNUMBER(MATCH('ALL 498 CONSOLIDATED NEW'!$G$2:$G$503,Table17131411212441[SCHOOL LIST],0))))</f>
        <v>0</v>
      </c>
      <c r="N13">
        <v>0</v>
      </c>
      <c r="O13">
        <f t="shared" si="2"/>
        <v>0</v>
      </c>
      <c r="AL13" s="98"/>
    </row>
    <row r="14" spans="1:41">
      <c r="A14" t="s">
        <v>251</v>
      </c>
      <c r="B14" t="s">
        <v>1780</v>
      </c>
      <c r="C14" cm="1">
        <f t="array" ref="C14">SUMPRODUCT(('ALL 498 CONSOLIDATED NEW'!$N$2:$N$503=A$1)*(A14='ALL 498 CONSOLIDATED NEW'!$K$2:$M$503)*(ISNUMBER(MATCH('ALL 498 CONSOLIDATED NEW'!$G$2:$G$503,Table17131411212441[SCHOOL LIST],0))))</f>
        <v>0</v>
      </c>
      <c r="D14">
        <v>0</v>
      </c>
      <c r="E14">
        <f t="shared" si="0"/>
        <v>0</v>
      </c>
      <c r="F14" t="s">
        <v>251</v>
      </c>
      <c r="G14" t="s">
        <v>1781</v>
      </c>
      <c r="H14" cm="1">
        <f t="array" ref="H14">SUMPRODUCT(('ALL 498 CONSOLIDATED NEW'!$N$2:$N$503=F$1)*(F14='ALL 498 CONSOLIDATED NEW'!$K$2:$M$503)*(ISNUMBER(MATCH('ALL 498 CONSOLIDATED NEW'!$G$2:$G$503,Table17131411212441[SCHOOL LIST],0))))</f>
        <v>0</v>
      </c>
      <c r="I14">
        <v>0</v>
      </c>
      <c r="J14">
        <f t="shared" si="1"/>
        <v>0</v>
      </c>
      <c r="K14" t="s">
        <v>251</v>
      </c>
      <c r="L14">
        <v>105101013</v>
      </c>
      <c r="M14" cm="1">
        <f t="array" ref="M14">SUMPRODUCT(('ALL 498 CONSOLIDATED NEW'!$N$2:$N$503=K$1)*(K14='ALL 498 CONSOLIDATED NEW'!$K$2:$M$503)*(ISNUMBER(MATCH('ALL 498 CONSOLIDATED NEW'!$G$2:$G$503,Table17131411212441[SCHOOL LIST],0))))</f>
        <v>0</v>
      </c>
      <c r="N14">
        <v>0</v>
      </c>
      <c r="O14">
        <f t="shared" si="2"/>
        <v>0</v>
      </c>
    </row>
    <row r="15" spans="1:41">
      <c r="A15" t="s">
        <v>136</v>
      </c>
      <c r="B15" t="s">
        <v>1782</v>
      </c>
      <c r="C15" cm="1">
        <f t="array" ref="C15">SUMPRODUCT(('ALL 498 CONSOLIDATED NEW'!$N$2:$N$503=A$1)*(A15='ALL 498 CONSOLIDATED NEW'!$K$2:$M$503)*(ISNUMBER(MATCH('ALL 498 CONSOLIDATED NEW'!$G$2:$G$503,Table17131411212441[SCHOOL LIST],0))))</f>
        <v>9</v>
      </c>
      <c r="D15">
        <v>9</v>
      </c>
      <c r="E15">
        <f t="shared" si="0"/>
        <v>0</v>
      </c>
      <c r="F15" t="s">
        <v>136</v>
      </c>
      <c r="G15" t="s">
        <v>1783</v>
      </c>
      <c r="H15" cm="1">
        <f t="array" ref="H15">SUMPRODUCT(('ALL 498 CONSOLIDATED NEW'!$N$2:$N$503=F$1)*(F15='ALL 498 CONSOLIDATED NEW'!$K$2:$M$503)*(ISNUMBER(MATCH('ALL 498 CONSOLIDATED NEW'!$G$2:$G$503,Table17131411212441[SCHOOL LIST],0))))</f>
        <v>2</v>
      </c>
      <c r="I15">
        <v>2</v>
      </c>
      <c r="J15">
        <f t="shared" si="1"/>
        <v>0</v>
      </c>
      <c r="K15" t="s">
        <v>136</v>
      </c>
      <c r="L15">
        <v>105101014</v>
      </c>
      <c r="M15" cm="1">
        <f t="array" ref="M15">SUMPRODUCT(('ALL 498 CONSOLIDATED NEW'!$N$2:$N$503=K$1)*(K15='ALL 498 CONSOLIDATED NEW'!$K$2:$M$503)*(ISNUMBER(MATCH('ALL 498 CONSOLIDATED NEW'!$G$2:$G$503,Table17131411212441[SCHOOL LIST],0))))</f>
        <v>5</v>
      </c>
      <c r="N15">
        <v>5</v>
      </c>
      <c r="O15">
        <f t="shared" si="2"/>
        <v>0</v>
      </c>
    </row>
    <row r="16" spans="1:41">
      <c r="A16" t="s">
        <v>198</v>
      </c>
      <c r="B16" t="s">
        <v>1784</v>
      </c>
      <c r="C16" cm="1">
        <f t="array" ref="C16">SUMPRODUCT(('ALL 498 CONSOLIDATED NEW'!$N$2:$N$503=A$1)*(A16='ALL 498 CONSOLIDATED NEW'!$K$2:$M$503)*(ISNUMBER(MATCH('ALL 498 CONSOLIDATED NEW'!$G$2:$G$503,Table17131411212441[SCHOOL LIST],0))))</f>
        <v>8</v>
      </c>
      <c r="D16">
        <v>8</v>
      </c>
      <c r="E16">
        <f t="shared" si="0"/>
        <v>0</v>
      </c>
      <c r="F16" t="s">
        <v>198</v>
      </c>
      <c r="G16" t="s">
        <v>1785</v>
      </c>
      <c r="H16" cm="1">
        <f t="array" ref="H16">SUMPRODUCT(('ALL 498 CONSOLIDATED NEW'!$N$2:$N$503=F$1)*(F16='ALL 498 CONSOLIDATED NEW'!$K$2:$M$503)*(ISNUMBER(MATCH('ALL 498 CONSOLIDATED NEW'!$G$2:$G$503,Table17131411212441[SCHOOL LIST],0))))</f>
        <v>6</v>
      </c>
      <c r="I16">
        <v>6</v>
      </c>
      <c r="J16">
        <f t="shared" si="1"/>
        <v>0</v>
      </c>
      <c r="K16" t="s">
        <v>198</v>
      </c>
      <c r="L16">
        <v>105101015</v>
      </c>
      <c r="M16" cm="1">
        <f t="array" ref="M16">SUMPRODUCT(('ALL 498 CONSOLIDATED NEW'!$N$2:$N$503=K$1)*(K16='ALL 498 CONSOLIDATED NEW'!$K$2:$M$503)*(ISNUMBER(MATCH('ALL 498 CONSOLIDATED NEW'!$G$2:$G$503,Table17131411212441[SCHOOL LIST],0))))</f>
        <v>6</v>
      </c>
      <c r="N16">
        <v>6</v>
      </c>
      <c r="O16">
        <f t="shared" si="2"/>
        <v>0</v>
      </c>
    </row>
    <row r="17" spans="1:37">
      <c r="A17" t="s">
        <v>200</v>
      </c>
      <c r="B17" t="s">
        <v>1786</v>
      </c>
      <c r="C17" cm="1">
        <f t="array" ref="C17">SUMPRODUCT(('ALL 498 CONSOLIDATED NEW'!$N$2:$N$503=A$1)*(A17='ALL 498 CONSOLIDATED NEW'!$K$2:$M$503)*(ISNUMBER(MATCH('ALL 498 CONSOLIDATED NEW'!$G$2:$G$503,Table17131411212441[SCHOOL LIST],0))))</f>
        <v>2</v>
      </c>
      <c r="D17">
        <v>2</v>
      </c>
      <c r="E17">
        <f t="shared" si="0"/>
        <v>0</v>
      </c>
      <c r="F17" t="s">
        <v>200</v>
      </c>
      <c r="G17" t="s">
        <v>1787</v>
      </c>
      <c r="H17" cm="1">
        <f t="array" ref="H17">SUMPRODUCT(('ALL 498 CONSOLIDATED NEW'!$N$2:$N$503=F$1)*(F17='ALL 498 CONSOLIDATED NEW'!$K$2:$M$503)*(ISNUMBER(MATCH('ALL 498 CONSOLIDATED NEW'!$G$2:$G$503,Table17131411212441[SCHOOL LIST],0))))</f>
        <v>2</v>
      </c>
      <c r="I17">
        <v>2</v>
      </c>
      <c r="J17">
        <f t="shared" si="1"/>
        <v>0</v>
      </c>
      <c r="K17" t="s">
        <v>200</v>
      </c>
      <c r="L17">
        <v>105101016</v>
      </c>
      <c r="M17" cm="1">
        <f t="array" ref="M17">SUMPRODUCT(('ALL 498 CONSOLIDATED NEW'!$N$2:$N$503=K$1)*(K17='ALL 498 CONSOLIDATED NEW'!$K$2:$M$503)*(ISNUMBER(MATCH('ALL 498 CONSOLIDATED NEW'!$G$2:$G$503,Table17131411212441[SCHOOL LIST],0))))</f>
        <v>3</v>
      </c>
      <c r="N17">
        <v>3</v>
      </c>
      <c r="O17">
        <f t="shared" si="2"/>
        <v>0</v>
      </c>
    </row>
    <row r="18" spans="1:37">
      <c r="A18" t="s">
        <v>1788</v>
      </c>
      <c r="B18" t="s">
        <v>1789</v>
      </c>
      <c r="C18" cm="1">
        <f t="array" ref="C18">SUMPRODUCT(('ALL 498 CONSOLIDATED NEW'!$N$2:$N$503=A$1)*(A18='ALL 498 CONSOLIDATED NEW'!$K$2:$M$503)*(ISNUMBER(MATCH('ALL 498 CONSOLIDATED NEW'!$G$2:$G$503,Table17131411212441[SCHOOL LIST],0))))</f>
        <v>0</v>
      </c>
      <c r="D18">
        <v>0</v>
      </c>
      <c r="E18">
        <f t="shared" si="0"/>
        <v>0</v>
      </c>
      <c r="F18" t="s">
        <v>1788</v>
      </c>
      <c r="G18" t="s">
        <v>1790</v>
      </c>
      <c r="H18" cm="1">
        <f t="array" ref="H18">SUMPRODUCT(('ALL 498 CONSOLIDATED NEW'!$N$2:$N$503=F$1)*(F18='ALL 498 CONSOLIDATED NEW'!$K$2:$M$503)*(ISNUMBER(MATCH('ALL 498 CONSOLIDATED NEW'!$G$2:$G$503,Table17131411212441[SCHOOL LIST],0))))</f>
        <v>0</v>
      </c>
      <c r="I18">
        <v>0</v>
      </c>
      <c r="J18">
        <f t="shared" si="1"/>
        <v>0</v>
      </c>
      <c r="K18" t="s">
        <v>1788</v>
      </c>
      <c r="L18">
        <v>105101017</v>
      </c>
      <c r="M18" cm="1">
        <f t="array" ref="M18">SUMPRODUCT(('ALL 498 CONSOLIDATED NEW'!$N$2:$N$503=K$1)*(K18='ALL 498 CONSOLIDATED NEW'!$K$2:$M$503)*(ISNUMBER(MATCH('ALL 498 CONSOLIDATED NEW'!$G$2:$G$503,Table17131411212441[SCHOOL LIST],0))))</f>
        <v>0</v>
      </c>
      <c r="N18">
        <v>0</v>
      </c>
      <c r="O18">
        <f t="shared" si="2"/>
        <v>0</v>
      </c>
    </row>
    <row r="19" spans="1:37">
      <c r="A19" t="s">
        <v>315</v>
      </c>
      <c r="B19" t="s">
        <v>1791</v>
      </c>
      <c r="C19" cm="1">
        <f t="array" ref="C19">SUMPRODUCT(('ALL 498 CONSOLIDATED NEW'!$N$2:$N$503=A$1)*(A19='ALL 498 CONSOLIDATED NEW'!$K$2:$M$503)*(ISNUMBER(MATCH('ALL 498 CONSOLIDATED NEW'!$G$2:$G$503,Table17131411212441[SCHOOL LIST],0))))</f>
        <v>0</v>
      </c>
      <c r="D19">
        <v>0</v>
      </c>
      <c r="E19">
        <f t="shared" si="0"/>
        <v>0</v>
      </c>
      <c r="F19" t="s">
        <v>315</v>
      </c>
      <c r="G19" t="s">
        <v>1792</v>
      </c>
      <c r="H19" cm="1">
        <f t="array" ref="H19">SUMPRODUCT(('ALL 498 CONSOLIDATED NEW'!$N$2:$N$503=F$1)*(F19='ALL 498 CONSOLIDATED NEW'!$K$2:$M$503)*(ISNUMBER(MATCH('ALL 498 CONSOLIDATED NEW'!$G$2:$G$503,Table17131411212441[SCHOOL LIST],0))))</f>
        <v>0</v>
      </c>
      <c r="I19">
        <v>0</v>
      </c>
      <c r="J19">
        <f t="shared" si="1"/>
        <v>0</v>
      </c>
      <c r="K19" t="s">
        <v>315</v>
      </c>
      <c r="L19">
        <v>105101018</v>
      </c>
      <c r="M19" cm="1">
        <f t="array" ref="M19">SUMPRODUCT(('ALL 498 CONSOLIDATED NEW'!$N$2:$N$503=K$1)*(K19='ALL 498 CONSOLIDATED NEW'!$K$2:$M$503)*(ISNUMBER(MATCH('ALL 498 CONSOLIDATED NEW'!$G$2:$G$503,Table17131411212441[SCHOOL LIST],0))))</f>
        <v>2</v>
      </c>
      <c r="N19">
        <v>2</v>
      </c>
      <c r="O19">
        <f t="shared" si="2"/>
        <v>0</v>
      </c>
    </row>
    <row r="20" spans="1:37">
      <c r="A20" t="s">
        <v>199</v>
      </c>
      <c r="B20" t="s">
        <v>1793</v>
      </c>
      <c r="C20" cm="1">
        <f t="array" ref="C20">SUMPRODUCT(('ALL 498 CONSOLIDATED NEW'!$N$2:$N$503=A$1)*(A20='ALL 498 CONSOLIDATED NEW'!$K$2:$M$503)*(ISNUMBER(MATCH('ALL 498 CONSOLIDATED NEW'!$G$2:$G$503,Table17131411212441[SCHOOL LIST],0))))</f>
        <v>6</v>
      </c>
      <c r="D20">
        <v>6</v>
      </c>
      <c r="E20">
        <f t="shared" si="0"/>
        <v>0</v>
      </c>
      <c r="F20" t="s">
        <v>199</v>
      </c>
      <c r="G20" t="s">
        <v>1794</v>
      </c>
      <c r="H20" cm="1">
        <f t="array" ref="H20">SUMPRODUCT(('ALL 498 CONSOLIDATED NEW'!$N$2:$N$503=F$1)*(F20='ALL 498 CONSOLIDATED NEW'!$K$2:$M$503)*(ISNUMBER(MATCH('ALL 498 CONSOLIDATED NEW'!$G$2:$G$503,Table17131411212441[SCHOOL LIST],0))))</f>
        <v>2</v>
      </c>
      <c r="I20">
        <v>2</v>
      </c>
      <c r="J20">
        <f t="shared" si="1"/>
        <v>0</v>
      </c>
      <c r="K20" t="s">
        <v>199</v>
      </c>
      <c r="L20">
        <v>105101019</v>
      </c>
      <c r="M20" cm="1">
        <f t="array" ref="M20">SUMPRODUCT(('ALL 498 CONSOLIDATED NEW'!$N$2:$N$503=K$1)*(K20='ALL 498 CONSOLIDATED NEW'!$K$2:$M$503)*(ISNUMBER(MATCH('ALL 498 CONSOLIDATED NEW'!$G$2:$G$503,Table17131411212441[SCHOOL LIST],0))))</f>
        <v>5</v>
      </c>
      <c r="N20">
        <v>5</v>
      </c>
      <c r="O20">
        <f t="shared" si="2"/>
        <v>0</v>
      </c>
    </row>
    <row r="21" spans="1:37">
      <c r="A21" t="s">
        <v>635</v>
      </c>
      <c r="B21" t="s">
        <v>1795</v>
      </c>
      <c r="C21" cm="1">
        <f t="array" ref="C21">SUMPRODUCT(('ALL 498 CONSOLIDATED NEW'!$N$2:$N$503=A$1)*(A21='ALL 498 CONSOLIDATED NEW'!$K$2:$M$503)*(ISNUMBER(MATCH('ALL 498 CONSOLIDATED NEW'!$G$2:$G$503,Table17131411212441[SCHOOL LIST],0))))</f>
        <v>0</v>
      </c>
      <c r="D21">
        <v>0</v>
      </c>
      <c r="E21">
        <f t="shared" si="0"/>
        <v>0</v>
      </c>
      <c r="F21" t="s">
        <v>635</v>
      </c>
      <c r="G21" t="s">
        <v>1796</v>
      </c>
      <c r="H21" cm="1">
        <f t="array" ref="H21">SUMPRODUCT(('ALL 498 CONSOLIDATED NEW'!$N$2:$N$503=F$1)*(F21='ALL 498 CONSOLIDATED NEW'!$K$2:$M$503)*(ISNUMBER(MATCH('ALL 498 CONSOLIDATED NEW'!$G$2:$G$503,Table17131411212441[SCHOOL LIST],0))))</f>
        <v>0</v>
      </c>
      <c r="I21">
        <v>0</v>
      </c>
      <c r="J21">
        <f t="shared" si="1"/>
        <v>0</v>
      </c>
      <c r="K21" t="s">
        <v>635</v>
      </c>
      <c r="L21">
        <v>105101020</v>
      </c>
      <c r="M21" cm="1">
        <f t="array" ref="M21">SUMPRODUCT(('ALL 498 CONSOLIDATED NEW'!$N$2:$N$503=K$1)*(K21='ALL 498 CONSOLIDATED NEW'!$K$2:$M$503)*(ISNUMBER(MATCH('ALL 498 CONSOLIDATED NEW'!$G$2:$G$503,Table17131411212441[SCHOOL LIST],0))))</f>
        <v>0</v>
      </c>
      <c r="N21">
        <v>0</v>
      </c>
      <c r="O21">
        <f t="shared" si="2"/>
        <v>0</v>
      </c>
    </row>
    <row r="22" spans="1:37" s="20" customFormat="1" ht="30.75">
      <c r="B22" s="20" t="str">
        <f>A1</f>
        <v>Palm Pen Holder</v>
      </c>
      <c r="C22" s="20">
        <f>SUM(C2:C21)</f>
        <v>60</v>
      </c>
      <c r="D22">
        <f>SUM(D2:D21)</f>
        <v>60</v>
      </c>
      <c r="E22">
        <f t="shared" si="0"/>
        <v>0</v>
      </c>
      <c r="G22" s="20" t="str">
        <f>F1</f>
        <v>TOOTH  BRUSH ADAPTER</v>
      </c>
      <c r="H22" s="20">
        <f>SUM(H2:H21)</f>
        <v>27</v>
      </c>
      <c r="I22" s="20">
        <f>SUM(I2:I21)</f>
        <v>27</v>
      </c>
      <c r="J22">
        <f t="shared" si="1"/>
        <v>0</v>
      </c>
      <c r="L22" s="20" t="str">
        <f>K1</f>
        <v>Utensil Holder</v>
      </c>
      <c r="M22" s="20">
        <f>SUM(M2:M21)</f>
        <v>36</v>
      </c>
      <c r="N22" s="20">
        <f>SUM(N2:N21)</f>
        <v>36</v>
      </c>
      <c r="O22">
        <f t="shared" si="2"/>
        <v>0</v>
      </c>
      <c r="Q22" s="20" t="str">
        <f>P1</f>
        <v>Reading Bar - Curved</v>
      </c>
      <c r="R22" s="20">
        <f>SUM(R2:R21)</f>
        <v>0</v>
      </c>
      <c r="S22" s="20">
        <f>SUM(S2:S3)</f>
        <v>0</v>
      </c>
      <c r="T22">
        <f t="shared" ref="T22" si="3">R22-S22</f>
        <v>0</v>
      </c>
      <c r="V22" s="20" t="str">
        <f>U1</f>
        <v>Assistive Pencil Grip</v>
      </c>
      <c r="W22" s="20">
        <f>SUM(W2:W21)</f>
        <v>0</v>
      </c>
      <c r="X22" s="20">
        <f>SUM(X2:X3)</f>
        <v>0</v>
      </c>
      <c r="Y22" s="20">
        <f t="shared" ref="Y22" si="4">W22-X22</f>
        <v>0</v>
      </c>
      <c r="AA22" s="20" t="str">
        <f>Z1</f>
        <v>Button Aid</v>
      </c>
      <c r="AB22" s="20">
        <f>SUM(AB2:AB21)</f>
        <v>0</v>
      </c>
      <c r="AC22" s="20">
        <f>SUM(AC2:AC3)</f>
        <v>0</v>
      </c>
      <c r="AD22" s="20">
        <f t="shared" ref="AD22" si="5">AB22-AC22</f>
        <v>0</v>
      </c>
      <c r="AF22" s="20" t="str">
        <f>AE1</f>
        <v>LOW PROFILE SWITCH</v>
      </c>
      <c r="AG22" s="20">
        <f>SUM(AG2:AG21)</f>
        <v>0</v>
      </c>
      <c r="AH22" s="20">
        <f>SUM(AH2:AH3)</f>
        <v>0</v>
      </c>
      <c r="AI22" s="20">
        <f t="shared" ref="AI22" si="6">AG22-AH22</f>
        <v>0</v>
      </c>
      <c r="AJ22" s="20">
        <f>SUM(AG22,C22,H22,M22,R22,W22,AB22)</f>
        <v>123</v>
      </c>
      <c r="AK22" s="20" t="s">
        <v>1774</v>
      </c>
    </row>
    <row r="23" spans="1:37">
      <c r="AJ23">
        <f>SUM(C22,H22,M22,R22,W22,AB22)</f>
        <v>123</v>
      </c>
      <c r="AK23" t="s">
        <v>1797</v>
      </c>
    </row>
    <row r="24" spans="1:37">
      <c r="AJ24" s="113">
        <f>SUM(E22,J22,O22,T22,Y22,AD22)</f>
        <v>0</v>
      </c>
      <c r="AK24" s="113" t="s">
        <v>1798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4FD7-7BDF-42E4-B8D2-B86AD108FA54}">
  <dimension ref="A1:AO24"/>
  <sheetViews>
    <sheetView workbookViewId="0">
      <pane ySplit="1" topLeftCell="A8" activePane="bottomLeft" state="frozen"/>
      <selection pane="bottomLeft" activeCell="N21" sqref="N21"/>
    </sheetView>
  </sheetViews>
  <sheetFormatPr defaultRowHeight="15"/>
  <cols>
    <col min="2" max="2" width="10" customWidth="1"/>
    <col min="3" max="5" width="4.42578125" customWidth="1"/>
    <col min="7" max="7" width="10.140625" customWidth="1"/>
    <col min="8" max="10" width="5.28515625" customWidth="1"/>
    <col min="12" max="12" width="10.85546875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 ht="45.75">
      <c r="A1" s="20" t="s">
        <v>111</v>
      </c>
      <c r="C1" s="20" t="s">
        <v>1747</v>
      </c>
      <c r="D1" s="20" t="s">
        <v>1748</v>
      </c>
      <c r="E1" s="20" t="s">
        <v>1749</v>
      </c>
      <c r="F1" s="20" t="s">
        <v>162</v>
      </c>
      <c r="H1" s="20" t="s">
        <v>1747</v>
      </c>
      <c r="I1" s="20" t="s">
        <v>1748</v>
      </c>
      <c r="J1" s="20" t="s">
        <v>1749</v>
      </c>
      <c r="K1" s="20" t="s">
        <v>117</v>
      </c>
      <c r="M1" s="20" t="s">
        <v>1747</v>
      </c>
      <c r="N1" s="20" t="s">
        <v>1748</v>
      </c>
      <c r="O1" s="20" t="s">
        <v>1749</v>
      </c>
      <c r="P1" s="20" t="s">
        <v>188</v>
      </c>
      <c r="R1" s="20" t="s">
        <v>1747</v>
      </c>
      <c r="S1" s="20" t="s">
        <v>1748</v>
      </c>
      <c r="T1" s="20" t="s">
        <v>1749</v>
      </c>
      <c r="U1" s="20" t="s">
        <v>16</v>
      </c>
      <c r="W1" s="20" t="s">
        <v>1747</v>
      </c>
      <c r="X1" s="20" t="s">
        <v>1748</v>
      </c>
      <c r="Y1" s="20" t="s">
        <v>1749</v>
      </c>
      <c r="Z1" s="20" t="s">
        <v>122</v>
      </c>
      <c r="AB1" s="20" t="s">
        <v>1747</v>
      </c>
      <c r="AC1" s="20" t="s">
        <v>1748</v>
      </c>
      <c r="AD1" s="20" t="s">
        <v>1749</v>
      </c>
      <c r="AE1" s="20" t="s">
        <v>12</v>
      </c>
      <c r="AG1" s="20" t="s">
        <v>1747</v>
      </c>
      <c r="AH1" s="20" t="s">
        <v>1748</v>
      </c>
      <c r="AI1" s="20" t="s">
        <v>1749</v>
      </c>
      <c r="AL1" t="s">
        <v>1750</v>
      </c>
    </row>
    <row r="2" spans="1:41">
      <c r="A2" t="s">
        <v>116</v>
      </c>
      <c r="B2" t="s">
        <v>1751</v>
      </c>
      <c r="C2" cm="1">
        <f t="array" ref="C2">SUMPRODUCT(('ALL 498 CONSOLIDATED NEW'!$N$2:$N$503=A$1)*(A2='ALL 498 CONSOLIDATED NEW'!$K$2:$M$503)*(ISNUMBER(MATCH('ALL 498 CONSOLIDATED NEW'!$G$2:$G$503,Table17131411212439[SCHOOL LIST],0))))</f>
        <v>3</v>
      </c>
      <c r="D2">
        <v>3</v>
      </c>
      <c r="E2">
        <f>C2-D2</f>
        <v>0</v>
      </c>
      <c r="F2" t="s">
        <v>116</v>
      </c>
      <c r="G2" t="s">
        <v>1752</v>
      </c>
      <c r="H2" cm="1">
        <f t="array" ref="H2">SUMPRODUCT(('ALL 498 CONSOLIDATED NEW'!$N$2:$N$503=F$1)*(F2='ALL 498 CONSOLIDATED NEW'!$K$2:$M$503)*(ISNUMBER(MATCH('ALL 498 CONSOLIDATED NEW'!$G$2:$G$503,Table17131411212439[SCHOOL LIST],0))))</f>
        <v>1</v>
      </c>
      <c r="I2">
        <v>1</v>
      </c>
      <c r="J2">
        <f>H2-I2</f>
        <v>0</v>
      </c>
      <c r="K2" t="s">
        <v>116</v>
      </c>
      <c r="L2">
        <v>105101001</v>
      </c>
      <c r="M2" cm="1">
        <f t="array" ref="M2">SUMPRODUCT(('ALL 498 CONSOLIDATED NEW'!$N$2:$N$503=K$1)*(K2='ALL 498 CONSOLIDATED NEW'!$K$2:$M$503)*(ISNUMBER(MATCH('ALL 498 CONSOLIDATED NEW'!$G$2:$G$503,Table17131411212439[SCHOOL LIST],0))))</f>
        <v>0</v>
      </c>
      <c r="N2">
        <v>0</v>
      </c>
      <c r="O2">
        <f>M2-N2</f>
        <v>0</v>
      </c>
      <c r="P2" t="s">
        <v>186</v>
      </c>
      <c r="Q2">
        <v>302202001</v>
      </c>
      <c r="R2" cm="1">
        <f t="array" ref="R2">SUMPRODUCT(('ALL 498 CONSOLIDATED NEW'!$N$2:$N$503=P$1)*(P2='ALL 498 CONSOLIDATED NEW'!$K$2:$M$503)*(ISNUMBER(MATCH('ALL 498 CONSOLIDATED NEW'!$G$2:$G$503,Table17131411212439[SCHOOL LIST],0))))</f>
        <v>1</v>
      </c>
      <c r="S2">
        <v>1</v>
      </c>
      <c r="T2">
        <f>R2-S2</f>
        <v>0</v>
      </c>
      <c r="U2" t="s">
        <v>1313</v>
      </c>
      <c r="V2">
        <v>301201999</v>
      </c>
      <c r="W2" cm="1">
        <f t="array" ref="W2">SUMPRODUCT(('ALL 498 CONSOLIDATED NEW'!$N$2:$N$503=U$1)*(U2='ALL 498 CONSOLIDATED NEW'!$K$2:$M$503)*(ISNUMBER(MATCH('ALL 498 CONSOLIDATED NEW'!$G$2:$G$503,Table17131411212439[SCHOOL LIST],0))))</f>
        <v>8</v>
      </c>
      <c r="X2">
        <v>8</v>
      </c>
      <c r="Y2">
        <f>W2-X2</f>
        <v>0</v>
      </c>
      <c r="Z2" t="s">
        <v>1321</v>
      </c>
      <c r="AA2">
        <v>104104009</v>
      </c>
      <c r="AB2" cm="1">
        <f t="array" ref="AB2">SUMPRODUCT(('ALL 498 CONSOLIDATED NEW'!$N$2:$N$503=Z$1)*(Z2='ALL 498 CONSOLIDATED NEW'!$K$2:$M$503)*(ISNUMBER(MATCH('ALL 498 CONSOLIDATED NEW'!$G$2:$G$503,Table17131411212439[SCHOOL LIST],0))))</f>
        <v>2</v>
      </c>
      <c r="AC2">
        <v>2</v>
      </c>
      <c r="AD2">
        <f>AB2-AC2</f>
        <v>0</v>
      </c>
      <c r="AE2" t="s">
        <v>1365</v>
      </c>
      <c r="AF2">
        <v>204301999</v>
      </c>
      <c r="AG2" cm="1">
        <f t="array" ref="AG2">SUMPRODUCT(('ALL 498 CONSOLIDATED NEW'!$N$2:$N$503=AE$1)*(AE2='ALL 498 CONSOLIDATED NEW'!$K$2:$M$503)*(ISNUMBER(MATCH('ALL 498 CONSOLIDATED NEW'!$G$2:$G$503,Table17131411212439[SCHOOL LIST],0))))</f>
        <v>0</v>
      </c>
      <c r="AH2">
        <v>0</v>
      </c>
      <c r="AI2">
        <f>AG2-AH2</f>
        <v>0</v>
      </c>
      <c r="AL2" s="56" t="s">
        <v>47</v>
      </c>
    </row>
    <row r="3" spans="1:41">
      <c r="A3" t="s">
        <v>1753</v>
      </c>
      <c r="B3" t="s">
        <v>1754</v>
      </c>
      <c r="C3" cm="1">
        <f t="array" ref="C3">SUMPRODUCT(('ALL 498 CONSOLIDATED NEW'!$N$2:$N$503=A$1)*(A3='ALL 498 CONSOLIDATED NEW'!$K$2:$M$503)*(ISNUMBER(MATCH('ALL 498 CONSOLIDATED NEW'!$G$2:$G$503,Table17131411212439[SCHOOL LIST],0))))</f>
        <v>0</v>
      </c>
      <c r="D3">
        <v>0</v>
      </c>
      <c r="E3">
        <f t="shared" ref="E3:E22" si="0">C3-D3</f>
        <v>0</v>
      </c>
      <c r="F3" t="s">
        <v>1753</v>
      </c>
      <c r="G3" t="s">
        <v>1755</v>
      </c>
      <c r="H3" cm="1">
        <f t="array" ref="H3">SUMPRODUCT(('ALL 498 CONSOLIDATED NEW'!$N$2:$N$503=F$1)*(F3='ALL 498 CONSOLIDATED NEW'!$K$2:$M$503)*(ISNUMBER(MATCH('ALL 498 CONSOLIDATED NEW'!$G$2:$G$503,Table17131411212439[SCHOOL LIST],0))))</f>
        <v>0</v>
      </c>
      <c r="I3">
        <v>0</v>
      </c>
      <c r="J3">
        <f t="shared" ref="J3:J22" si="1">H3-I3</f>
        <v>0</v>
      </c>
      <c r="K3" t="s">
        <v>1753</v>
      </c>
      <c r="L3">
        <v>105101002</v>
      </c>
      <c r="M3" cm="1">
        <f t="array" ref="M3">SUMPRODUCT(('ALL 498 CONSOLIDATED NEW'!$N$2:$N$503=K$1)*(K3='ALL 498 CONSOLIDATED NEW'!$K$2:$M$503)*(ISNUMBER(MATCH('ALL 498 CONSOLIDATED NEW'!$G$2:$G$503,Table17131411212439[SCHOOL LIST],0))))</f>
        <v>0</v>
      </c>
      <c r="N3">
        <v>0</v>
      </c>
      <c r="O3">
        <f t="shared" ref="O3:O22" si="2">M3-N3</f>
        <v>0</v>
      </c>
      <c r="P3" t="s">
        <v>187</v>
      </c>
      <c r="Q3" t="s">
        <v>1756</v>
      </c>
      <c r="R3" cm="1">
        <f t="array" ref="R3">SUMPRODUCT(('ALL 498 CONSOLIDATED NEW'!$N$2:$N$503=P$1)*(P3='ALL 498 CONSOLIDATED NEW'!$K$2:$M$503)*(ISNUMBER(MATCH('ALL 498 CONSOLIDATED NEW'!$G$2:$G$503,Table17131411212439[SCHOOL LIST],0))))</f>
        <v>1</v>
      </c>
      <c r="S3">
        <v>1</v>
      </c>
      <c r="T3">
        <f>R3-S3</f>
        <v>0</v>
      </c>
      <c r="AL3" s="56" t="s">
        <v>86</v>
      </c>
      <c r="AM3" t="s">
        <v>1291</v>
      </c>
      <c r="AN3" t="s">
        <v>1304</v>
      </c>
      <c r="AO3" t="s">
        <v>1293</v>
      </c>
    </row>
    <row r="4" spans="1:41">
      <c r="A4" t="s">
        <v>109</v>
      </c>
      <c r="B4" t="s">
        <v>1757</v>
      </c>
      <c r="C4" cm="1">
        <f t="array" ref="C4">SUMPRODUCT(('ALL 498 CONSOLIDATED NEW'!$N$2:$N$503=A$1)*(A4='ALL 498 CONSOLIDATED NEW'!$K$2:$M$503)*(ISNUMBER(MATCH('ALL 498 CONSOLIDATED NEW'!$G$2:$G$503,Table17131411212439[SCHOOL LIST],0))))</f>
        <v>0</v>
      </c>
      <c r="D4">
        <v>0</v>
      </c>
      <c r="E4">
        <f t="shared" si="0"/>
        <v>0</v>
      </c>
      <c r="F4" t="s">
        <v>109</v>
      </c>
      <c r="G4" t="s">
        <v>1758</v>
      </c>
      <c r="H4" cm="1">
        <f t="array" ref="H4">SUMPRODUCT(('ALL 498 CONSOLIDATED NEW'!$N$2:$N$503=F$1)*(F4='ALL 498 CONSOLIDATED NEW'!$K$2:$M$503)*(ISNUMBER(MATCH('ALL 498 CONSOLIDATED NEW'!$G$2:$G$503,Table17131411212439[SCHOOL LIST],0))))</f>
        <v>0</v>
      </c>
      <c r="I4">
        <v>0</v>
      </c>
      <c r="J4">
        <f t="shared" si="1"/>
        <v>0</v>
      </c>
      <c r="K4" t="s">
        <v>109</v>
      </c>
      <c r="L4">
        <v>105101003</v>
      </c>
      <c r="M4" cm="1">
        <f t="array" ref="M4">SUMPRODUCT(('ALL 498 CONSOLIDATED NEW'!$N$2:$N$503=K$1)*(K4='ALL 498 CONSOLIDATED NEW'!$K$2:$M$503)*(ISNUMBER(MATCH('ALL 498 CONSOLIDATED NEW'!$G$2:$G$503,Table17131411212439[SCHOOL LIST],0))))</f>
        <v>0</v>
      </c>
      <c r="N4">
        <v>0</v>
      </c>
      <c r="O4">
        <f t="shared" si="2"/>
        <v>0</v>
      </c>
      <c r="AL4" s="56" t="s">
        <v>62</v>
      </c>
      <c r="AM4">
        <v>1</v>
      </c>
      <c r="AN4" t="s">
        <v>111</v>
      </c>
      <c r="AO4">
        <f>C22/3</f>
        <v>15</v>
      </c>
    </row>
    <row r="5" spans="1:41">
      <c r="A5" t="s">
        <v>1759</v>
      </c>
      <c r="B5" t="s">
        <v>1760</v>
      </c>
      <c r="C5" cm="1">
        <f t="array" ref="C5">SUMPRODUCT(('ALL 498 CONSOLIDATED NEW'!$N$2:$N$503=A$1)*(A5='ALL 498 CONSOLIDATED NEW'!$K$2:$M$503)*(ISNUMBER(MATCH('ALL 498 CONSOLIDATED NEW'!$G$2:$G$503,Table17131411212439[SCHOOL LIST],0))))</f>
        <v>0</v>
      </c>
      <c r="D5">
        <v>0</v>
      </c>
      <c r="E5">
        <f t="shared" si="0"/>
        <v>0</v>
      </c>
      <c r="F5" t="s">
        <v>1759</v>
      </c>
      <c r="G5" t="s">
        <v>1761</v>
      </c>
      <c r="H5" cm="1">
        <f t="array" ref="H5">SUMPRODUCT(('ALL 498 CONSOLIDATED NEW'!$N$2:$N$503=F$1)*(F5='ALL 498 CONSOLIDATED NEW'!$K$2:$M$503)*(ISNUMBER(MATCH('ALL 498 CONSOLIDATED NEW'!$G$2:$G$503,Table17131411212439[SCHOOL LIST],0))))</f>
        <v>0</v>
      </c>
      <c r="I5">
        <v>0</v>
      </c>
      <c r="J5">
        <f t="shared" si="1"/>
        <v>0</v>
      </c>
      <c r="K5" t="s">
        <v>1759</v>
      </c>
      <c r="L5">
        <v>105101004</v>
      </c>
      <c r="M5" cm="1">
        <f t="array" ref="M5">SUMPRODUCT(('ALL 498 CONSOLIDATED NEW'!$N$2:$N$503=K$1)*(K5='ALL 498 CONSOLIDATED NEW'!$K$2:$M$503)*(ISNUMBER(MATCH('ALL 498 CONSOLIDATED NEW'!$G$2:$G$503,Table17131411212439[SCHOOL LIST],0))))</f>
        <v>0</v>
      </c>
      <c r="N5">
        <v>0</v>
      </c>
      <c r="O5">
        <f t="shared" si="2"/>
        <v>0</v>
      </c>
      <c r="AL5" s="56" t="s">
        <v>81</v>
      </c>
      <c r="AM5">
        <v>2</v>
      </c>
      <c r="AN5" t="s">
        <v>162</v>
      </c>
      <c r="AO5">
        <f>H22/3</f>
        <v>15</v>
      </c>
    </row>
    <row r="6" spans="1:41">
      <c r="A6" t="s">
        <v>130</v>
      </c>
      <c r="B6" t="s">
        <v>1762</v>
      </c>
      <c r="C6" cm="1">
        <f t="array" ref="C6">SUMPRODUCT(('ALL 498 CONSOLIDATED NEW'!$N$2:$N$503=A$1)*(A6='ALL 498 CONSOLIDATED NEW'!$K$2:$M$503)*(ISNUMBER(MATCH('ALL 498 CONSOLIDATED NEW'!$G$2:$G$503,Table17131411212439[SCHOOL LIST],0))))</f>
        <v>0</v>
      </c>
      <c r="D6">
        <v>0</v>
      </c>
      <c r="E6">
        <f t="shared" si="0"/>
        <v>0</v>
      </c>
      <c r="F6" t="s">
        <v>130</v>
      </c>
      <c r="G6" t="s">
        <v>1763</v>
      </c>
      <c r="H6" cm="1">
        <f t="array" ref="H6">SUMPRODUCT(('ALL 498 CONSOLIDATED NEW'!$N$2:$N$503=F$1)*(F6='ALL 498 CONSOLIDATED NEW'!$K$2:$M$503)*(ISNUMBER(MATCH('ALL 498 CONSOLIDATED NEW'!$G$2:$G$503,Table17131411212439[SCHOOL LIST],0))))</f>
        <v>0</v>
      </c>
      <c r="I6">
        <v>0</v>
      </c>
      <c r="J6">
        <f t="shared" si="1"/>
        <v>0</v>
      </c>
      <c r="K6" t="s">
        <v>130</v>
      </c>
      <c r="L6">
        <v>105101005</v>
      </c>
      <c r="M6" cm="1">
        <f t="array" ref="M6">SUMPRODUCT(('ALL 498 CONSOLIDATED NEW'!$N$2:$N$503=K$1)*(K6='ALL 498 CONSOLIDATED NEW'!$K$2:$M$503)*(ISNUMBER(MATCH('ALL 498 CONSOLIDATED NEW'!$G$2:$G$503,Table17131411212439[SCHOOL LIST],0))))</f>
        <v>0</v>
      </c>
      <c r="N6">
        <v>0</v>
      </c>
      <c r="O6">
        <f t="shared" si="2"/>
        <v>0</v>
      </c>
      <c r="AL6" s="56"/>
      <c r="AM6">
        <v>3</v>
      </c>
      <c r="AN6" t="s">
        <v>117</v>
      </c>
      <c r="AO6">
        <f>M22/3</f>
        <v>15</v>
      </c>
    </row>
    <row r="7" spans="1:41">
      <c r="A7" t="s">
        <v>443</v>
      </c>
      <c r="B7" t="s">
        <v>1764</v>
      </c>
      <c r="C7" cm="1">
        <f t="array" ref="C7">SUMPRODUCT(('ALL 498 CONSOLIDATED NEW'!$N$2:$N$503=A$1)*(A7='ALL 498 CONSOLIDATED NEW'!$K$2:$M$503)*(ISNUMBER(MATCH('ALL 498 CONSOLIDATED NEW'!$G$2:$G$503,Table17131411212439[SCHOOL LIST],0))))</f>
        <v>0</v>
      </c>
      <c r="D7">
        <v>0</v>
      </c>
      <c r="E7">
        <f t="shared" si="0"/>
        <v>0</v>
      </c>
      <c r="F7" t="s">
        <v>443</v>
      </c>
      <c r="G7" t="s">
        <v>1765</v>
      </c>
      <c r="H7" cm="1">
        <f t="array" ref="H7">SUMPRODUCT(('ALL 498 CONSOLIDATED NEW'!$N$2:$N$503=F$1)*(F7='ALL 498 CONSOLIDATED NEW'!$K$2:$M$503)*(ISNUMBER(MATCH('ALL 498 CONSOLIDATED NEW'!$G$2:$G$503,Table17131411212439[SCHOOL LIST],0))))</f>
        <v>0</v>
      </c>
      <c r="I7">
        <v>0</v>
      </c>
      <c r="J7">
        <f t="shared" si="1"/>
        <v>0</v>
      </c>
      <c r="K7" t="s">
        <v>443</v>
      </c>
      <c r="L7">
        <v>105101006</v>
      </c>
      <c r="M7" cm="1">
        <f t="array" ref="M7">SUMPRODUCT(('ALL 498 CONSOLIDATED NEW'!$N$2:$N$503=K$1)*(K7='ALL 498 CONSOLIDATED NEW'!$K$2:$M$503)*(ISNUMBER(MATCH('ALL 498 CONSOLIDATED NEW'!$G$2:$G$503,Table17131411212439[SCHOOL LIST],0))))</f>
        <v>0</v>
      </c>
      <c r="N7">
        <v>0</v>
      </c>
      <c r="O7">
        <f t="shared" si="2"/>
        <v>0</v>
      </c>
      <c r="AL7" s="87"/>
      <c r="AM7">
        <v>4</v>
      </c>
      <c r="AN7" t="s">
        <v>188</v>
      </c>
      <c r="AO7">
        <f>R22/2</f>
        <v>1</v>
      </c>
    </row>
    <row r="8" spans="1:41">
      <c r="A8" t="s">
        <v>110</v>
      </c>
      <c r="B8" t="s">
        <v>1766</v>
      </c>
      <c r="C8" cm="1">
        <f t="array" ref="C8">SUMPRODUCT(('ALL 498 CONSOLIDATED NEW'!$N$2:$N$503=A$1)*(A8='ALL 498 CONSOLIDATED NEW'!$K$2:$M$503)*(ISNUMBER(MATCH('ALL 498 CONSOLIDATED NEW'!$G$2:$G$503,Table17131411212439[SCHOOL LIST],0))))</f>
        <v>3</v>
      </c>
      <c r="D8">
        <v>3</v>
      </c>
      <c r="E8">
        <f t="shared" si="0"/>
        <v>0</v>
      </c>
      <c r="F8" t="s">
        <v>110</v>
      </c>
      <c r="G8" t="s">
        <v>1767</v>
      </c>
      <c r="H8" cm="1">
        <f t="array" ref="H8">SUMPRODUCT(('ALL 498 CONSOLIDATED NEW'!$N$2:$N$503=F$1)*(F8='ALL 498 CONSOLIDATED NEW'!$K$2:$M$503)*(ISNUMBER(MATCH('ALL 498 CONSOLIDATED NEW'!$G$2:$G$503,Table17131411212439[SCHOOL LIST],0))))</f>
        <v>1</v>
      </c>
      <c r="I8">
        <v>1</v>
      </c>
      <c r="J8">
        <f t="shared" si="1"/>
        <v>0</v>
      </c>
      <c r="K8" t="s">
        <v>110</v>
      </c>
      <c r="L8">
        <v>105101007</v>
      </c>
      <c r="M8" cm="1">
        <f t="array" ref="M8">SUMPRODUCT(('ALL 498 CONSOLIDATED NEW'!$N$2:$N$503=K$1)*(K8='ALL 498 CONSOLIDATED NEW'!$K$2:$M$503)*(ISNUMBER(MATCH('ALL 498 CONSOLIDATED NEW'!$G$2:$G$503,Table17131411212439[SCHOOL LIST],0))))</f>
        <v>0</v>
      </c>
      <c r="N8">
        <v>0</v>
      </c>
      <c r="O8">
        <f t="shared" si="2"/>
        <v>0</v>
      </c>
      <c r="AL8" s="56"/>
      <c r="AM8">
        <v>5</v>
      </c>
      <c r="AN8" t="s">
        <v>16</v>
      </c>
      <c r="AO8">
        <f>W22/2</f>
        <v>4</v>
      </c>
    </row>
    <row r="9" spans="1:41">
      <c r="A9" t="s">
        <v>108</v>
      </c>
      <c r="B9" t="s">
        <v>1768</v>
      </c>
      <c r="C9" cm="1">
        <f t="array" ref="C9">SUMPRODUCT(('ALL 498 CONSOLIDATED NEW'!$N$2:$N$503=A$1)*(A9='ALL 498 CONSOLIDATED NEW'!$K$2:$M$503)*(ISNUMBER(MATCH('ALL 498 CONSOLIDATED NEW'!$G$2:$G$503,Table17131411212439[SCHOOL LIST],0))))</f>
        <v>2</v>
      </c>
      <c r="D9">
        <v>2</v>
      </c>
      <c r="E9">
        <f t="shared" si="0"/>
        <v>0</v>
      </c>
      <c r="F9" t="s">
        <v>108</v>
      </c>
      <c r="G9" t="s">
        <v>1769</v>
      </c>
      <c r="H9" cm="1">
        <f t="array" ref="H9">SUMPRODUCT(('ALL 498 CONSOLIDATED NEW'!$N$2:$N$503=F$1)*(F9='ALL 498 CONSOLIDATED NEW'!$K$2:$M$503)*(ISNUMBER(MATCH('ALL 498 CONSOLIDATED NEW'!$G$2:$G$503,Table17131411212439[SCHOOL LIST],0))))</f>
        <v>6</v>
      </c>
      <c r="I9">
        <v>6</v>
      </c>
      <c r="J9">
        <f t="shared" si="1"/>
        <v>0</v>
      </c>
      <c r="K9" t="s">
        <v>108</v>
      </c>
      <c r="L9">
        <v>105101008</v>
      </c>
      <c r="M9" cm="1">
        <f t="array" ref="M9">SUMPRODUCT(('ALL 498 CONSOLIDATED NEW'!$N$2:$N$503=K$1)*(K9='ALL 498 CONSOLIDATED NEW'!$K$2:$M$503)*(ISNUMBER(MATCH('ALL 498 CONSOLIDATED NEW'!$G$2:$G$503,Table17131411212439[SCHOOL LIST],0))))</f>
        <v>6</v>
      </c>
      <c r="N9">
        <v>6</v>
      </c>
      <c r="O9">
        <f t="shared" si="2"/>
        <v>0</v>
      </c>
      <c r="AL9" s="56"/>
      <c r="AM9">
        <v>6</v>
      </c>
      <c r="AN9" t="s">
        <v>122</v>
      </c>
      <c r="AO9">
        <f>AB22</f>
        <v>2</v>
      </c>
    </row>
    <row r="10" spans="1:41">
      <c r="A10" t="s">
        <v>250</v>
      </c>
      <c r="B10" t="s">
        <v>1770</v>
      </c>
      <c r="C10" cm="1">
        <f t="array" ref="C10">SUMPRODUCT(('ALL 498 CONSOLIDATED NEW'!$N$2:$N$503=A$1)*(A10='ALL 498 CONSOLIDATED NEW'!$K$2:$M$503)*(ISNUMBER(MATCH('ALL 498 CONSOLIDATED NEW'!$G$2:$G$503,Table17131411212439[SCHOOL LIST],0))))</f>
        <v>0</v>
      </c>
      <c r="D10">
        <v>0</v>
      </c>
      <c r="E10">
        <f t="shared" si="0"/>
        <v>0</v>
      </c>
      <c r="F10" t="s">
        <v>250</v>
      </c>
      <c r="G10" t="s">
        <v>1771</v>
      </c>
      <c r="H10" cm="1">
        <f t="array" ref="H10">SUMPRODUCT(('ALL 498 CONSOLIDATED NEW'!$N$2:$N$503=F$1)*(F10='ALL 498 CONSOLIDATED NEW'!$K$2:$M$503)*(ISNUMBER(MATCH('ALL 498 CONSOLIDATED NEW'!$G$2:$G$503,Table17131411212439[SCHOOL LIST],0))))</f>
        <v>0</v>
      </c>
      <c r="I10">
        <v>0</v>
      </c>
      <c r="J10">
        <f t="shared" si="1"/>
        <v>0</v>
      </c>
      <c r="K10" t="s">
        <v>250</v>
      </c>
      <c r="L10">
        <v>105101009</v>
      </c>
      <c r="M10" cm="1">
        <f t="array" ref="M10">SUMPRODUCT(('ALL 498 CONSOLIDATED NEW'!$N$2:$N$503=K$1)*(K10='ALL 498 CONSOLIDATED NEW'!$K$2:$M$503)*(ISNUMBER(MATCH('ALL 498 CONSOLIDATED NEW'!$G$2:$G$503,Table17131411212439[SCHOOL LIST],0))))</f>
        <v>0</v>
      </c>
      <c r="N10">
        <v>0</v>
      </c>
      <c r="O10">
        <f t="shared" si="2"/>
        <v>0</v>
      </c>
      <c r="AL10" s="56"/>
      <c r="AM10">
        <v>7</v>
      </c>
      <c r="AN10" t="s">
        <v>12</v>
      </c>
      <c r="AO10">
        <f>AG22</f>
        <v>0</v>
      </c>
    </row>
    <row r="11" spans="1:41">
      <c r="A11" t="s">
        <v>135</v>
      </c>
      <c r="B11" t="s">
        <v>1772</v>
      </c>
      <c r="C11" cm="1">
        <f t="array" ref="C11">SUMPRODUCT(('ALL 498 CONSOLIDATED NEW'!$N$2:$N$503=A$1)*(A11='ALL 498 CONSOLIDATED NEW'!$K$2:$M$503)*(ISNUMBER(MATCH('ALL 498 CONSOLIDATED NEW'!$G$2:$G$503,Table17131411212439[SCHOOL LIST],0))))</f>
        <v>2</v>
      </c>
      <c r="D11">
        <v>2</v>
      </c>
      <c r="E11">
        <f t="shared" si="0"/>
        <v>0</v>
      </c>
      <c r="F11" t="s">
        <v>135</v>
      </c>
      <c r="G11" t="s">
        <v>1773</v>
      </c>
      <c r="H11" cm="1">
        <f t="array" ref="H11">SUMPRODUCT(('ALL 498 CONSOLIDATED NEW'!$N$2:$N$503=F$1)*(F11='ALL 498 CONSOLIDATED NEW'!$K$2:$M$503)*(ISNUMBER(MATCH('ALL 498 CONSOLIDATED NEW'!$G$2:$G$503,Table17131411212439[SCHOOL LIST],0))))</f>
        <v>6</v>
      </c>
      <c r="I11">
        <v>6</v>
      </c>
      <c r="J11">
        <f t="shared" si="1"/>
        <v>0</v>
      </c>
      <c r="K11" t="s">
        <v>135</v>
      </c>
      <c r="L11">
        <v>105101010</v>
      </c>
      <c r="M11" cm="1">
        <f t="array" ref="M11">SUMPRODUCT(('ALL 498 CONSOLIDATED NEW'!$N$2:$N$503=K$1)*(K11='ALL 498 CONSOLIDATED NEW'!$K$2:$M$503)*(ISNUMBER(MATCH('ALL 498 CONSOLIDATED NEW'!$G$2:$G$503,Table17131411212439[SCHOOL LIST],0))))</f>
        <v>6</v>
      </c>
      <c r="N11">
        <v>6</v>
      </c>
      <c r="O11">
        <f t="shared" si="2"/>
        <v>0</v>
      </c>
      <c r="AL11" s="56"/>
      <c r="AN11" s="99" t="s">
        <v>1774</v>
      </c>
      <c r="AO11">
        <f>SUM(AO4:AO10)</f>
        <v>52</v>
      </c>
    </row>
    <row r="12" spans="1:41">
      <c r="A12" t="s">
        <v>150</v>
      </c>
      <c r="B12" t="s">
        <v>1775</v>
      </c>
      <c r="C12" cm="1">
        <f t="array" ref="C12">SUMPRODUCT(('ALL 498 CONSOLIDATED NEW'!$N$2:$N$503=A$1)*(A12='ALL 498 CONSOLIDATED NEW'!$K$2:$M$503)*(ISNUMBER(MATCH('ALL 498 CONSOLIDATED NEW'!$G$2:$G$503,Table17131411212439[SCHOOL LIST],0))))</f>
        <v>0</v>
      </c>
      <c r="D12">
        <v>0</v>
      </c>
      <c r="E12">
        <f t="shared" si="0"/>
        <v>0</v>
      </c>
      <c r="F12" t="s">
        <v>150</v>
      </c>
      <c r="G12" t="s">
        <v>1776</v>
      </c>
      <c r="H12" cm="1">
        <f t="array" ref="H12">SUMPRODUCT(('ALL 498 CONSOLIDATED NEW'!$N$2:$N$503=F$1)*(F12='ALL 498 CONSOLIDATED NEW'!$K$2:$M$503)*(ISNUMBER(MATCH('ALL 498 CONSOLIDATED NEW'!$G$2:$G$503,Table17131411212439[SCHOOL LIST],0))))</f>
        <v>0</v>
      </c>
      <c r="I12">
        <v>0</v>
      </c>
      <c r="J12">
        <f t="shared" si="1"/>
        <v>0</v>
      </c>
      <c r="K12" t="s">
        <v>150</v>
      </c>
      <c r="L12">
        <v>105101011</v>
      </c>
      <c r="M12" cm="1">
        <f t="array" ref="M12">SUMPRODUCT(('ALL 498 CONSOLIDATED NEW'!$N$2:$N$503=K$1)*(K12='ALL 498 CONSOLIDATED NEW'!$K$2:$M$503)*(ISNUMBER(MATCH('ALL 498 CONSOLIDATED NEW'!$G$2:$G$503,Table17131411212439[SCHOOL LIST],0))))</f>
        <v>0</v>
      </c>
      <c r="N12">
        <v>0</v>
      </c>
      <c r="O12">
        <f t="shared" si="2"/>
        <v>0</v>
      </c>
      <c r="AL12" s="56"/>
      <c r="AN12" s="99" t="s">
        <v>1777</v>
      </c>
      <c r="AO12">
        <f>SUM(AO4:AO9)</f>
        <v>52</v>
      </c>
    </row>
    <row r="13" spans="1:41">
      <c r="A13" t="s">
        <v>846</v>
      </c>
      <c r="B13" t="s">
        <v>1778</v>
      </c>
      <c r="C13" cm="1">
        <f t="array" ref="C13">SUMPRODUCT(('ALL 498 CONSOLIDATED NEW'!$N$2:$N$503=A$1)*(A13='ALL 498 CONSOLIDATED NEW'!$K$2:$M$503)*(ISNUMBER(MATCH('ALL 498 CONSOLIDATED NEW'!$G$2:$G$503,Table17131411212439[SCHOOL LIST],0))))</f>
        <v>0</v>
      </c>
      <c r="D13">
        <v>0</v>
      </c>
      <c r="E13">
        <f t="shared" si="0"/>
        <v>0</v>
      </c>
      <c r="F13" t="s">
        <v>846</v>
      </c>
      <c r="G13" t="s">
        <v>1779</v>
      </c>
      <c r="H13" cm="1">
        <f t="array" ref="H13">SUMPRODUCT(('ALL 498 CONSOLIDATED NEW'!$N$2:$N$503=F$1)*(F13='ALL 498 CONSOLIDATED NEW'!$K$2:$M$503)*(ISNUMBER(MATCH('ALL 498 CONSOLIDATED NEW'!$G$2:$G$503,Table17131411212439[SCHOOL LIST],0))))</f>
        <v>0</v>
      </c>
      <c r="I13">
        <v>0</v>
      </c>
      <c r="J13">
        <f t="shared" si="1"/>
        <v>0</v>
      </c>
      <c r="K13" t="s">
        <v>846</v>
      </c>
      <c r="L13">
        <v>105101012</v>
      </c>
      <c r="M13" cm="1">
        <f t="array" ref="M13">SUMPRODUCT(('ALL 498 CONSOLIDATED NEW'!$N$2:$N$503=K$1)*(K13='ALL 498 CONSOLIDATED NEW'!$K$2:$M$503)*(ISNUMBER(MATCH('ALL 498 CONSOLIDATED NEW'!$G$2:$G$503,Table17131411212439[SCHOOL LIST],0))))</f>
        <v>0</v>
      </c>
      <c r="N13">
        <v>0</v>
      </c>
      <c r="O13">
        <f t="shared" si="2"/>
        <v>0</v>
      </c>
      <c r="AL13" s="98"/>
    </row>
    <row r="14" spans="1:41">
      <c r="A14" t="s">
        <v>251</v>
      </c>
      <c r="B14" t="s">
        <v>1780</v>
      </c>
      <c r="C14" cm="1">
        <f t="array" ref="C14">SUMPRODUCT(('ALL 498 CONSOLIDATED NEW'!$N$2:$N$503=A$1)*(A14='ALL 498 CONSOLIDATED NEW'!$K$2:$M$503)*(ISNUMBER(MATCH('ALL 498 CONSOLIDATED NEW'!$G$2:$G$503,Table17131411212439[SCHOOL LIST],0))))</f>
        <v>0</v>
      </c>
      <c r="D14">
        <v>0</v>
      </c>
      <c r="E14">
        <f t="shared" si="0"/>
        <v>0</v>
      </c>
      <c r="F14" t="s">
        <v>251</v>
      </c>
      <c r="G14" t="s">
        <v>1781</v>
      </c>
      <c r="H14" cm="1">
        <f t="array" ref="H14">SUMPRODUCT(('ALL 498 CONSOLIDATED NEW'!$N$2:$N$503=F$1)*(F14='ALL 498 CONSOLIDATED NEW'!$K$2:$M$503)*(ISNUMBER(MATCH('ALL 498 CONSOLIDATED NEW'!$G$2:$G$503,Table17131411212439[SCHOOL LIST],0))))</f>
        <v>0</v>
      </c>
      <c r="I14">
        <v>0</v>
      </c>
      <c r="J14">
        <f t="shared" si="1"/>
        <v>0</v>
      </c>
      <c r="K14" t="s">
        <v>251</v>
      </c>
      <c r="L14">
        <v>105101013</v>
      </c>
      <c r="M14" cm="1">
        <f t="array" ref="M14">SUMPRODUCT(('ALL 498 CONSOLIDATED NEW'!$N$2:$N$503=K$1)*(K14='ALL 498 CONSOLIDATED NEW'!$K$2:$M$503)*(ISNUMBER(MATCH('ALL 498 CONSOLIDATED NEW'!$G$2:$G$503,Table17131411212439[SCHOOL LIST],0))))</f>
        <v>0</v>
      </c>
      <c r="N14">
        <v>0</v>
      </c>
      <c r="O14">
        <f t="shared" si="2"/>
        <v>0</v>
      </c>
    </row>
    <row r="15" spans="1:41">
      <c r="A15" t="s">
        <v>136</v>
      </c>
      <c r="B15" t="s">
        <v>1782</v>
      </c>
      <c r="C15" cm="1">
        <f t="array" ref="C15">SUMPRODUCT(('ALL 498 CONSOLIDATED NEW'!$N$2:$N$503=A$1)*(A15='ALL 498 CONSOLIDATED NEW'!$K$2:$M$503)*(ISNUMBER(MATCH('ALL 498 CONSOLIDATED NEW'!$G$2:$G$503,Table17131411212439[SCHOOL LIST],0))))</f>
        <v>0</v>
      </c>
      <c r="D15">
        <v>0</v>
      </c>
      <c r="E15">
        <f t="shared" si="0"/>
        <v>0</v>
      </c>
      <c r="F15" t="s">
        <v>136</v>
      </c>
      <c r="G15" t="s">
        <v>1783</v>
      </c>
      <c r="H15" cm="1">
        <f t="array" ref="H15">SUMPRODUCT(('ALL 498 CONSOLIDATED NEW'!$N$2:$N$503=F$1)*(F15='ALL 498 CONSOLIDATED NEW'!$K$2:$M$503)*(ISNUMBER(MATCH('ALL 498 CONSOLIDATED NEW'!$G$2:$G$503,Table17131411212439[SCHOOL LIST],0))))</f>
        <v>0</v>
      </c>
      <c r="I15">
        <v>0</v>
      </c>
      <c r="J15">
        <f t="shared" si="1"/>
        <v>0</v>
      </c>
      <c r="K15" t="s">
        <v>136</v>
      </c>
      <c r="L15">
        <v>105101014</v>
      </c>
      <c r="M15" cm="1">
        <f t="array" ref="M15">SUMPRODUCT(('ALL 498 CONSOLIDATED NEW'!$N$2:$N$503=K$1)*(K15='ALL 498 CONSOLIDATED NEW'!$K$2:$M$503)*(ISNUMBER(MATCH('ALL 498 CONSOLIDATED NEW'!$G$2:$G$503,Table17131411212439[SCHOOL LIST],0))))</f>
        <v>0</v>
      </c>
      <c r="N15">
        <v>0</v>
      </c>
      <c r="O15">
        <f t="shared" si="2"/>
        <v>0</v>
      </c>
    </row>
    <row r="16" spans="1:41">
      <c r="A16" t="s">
        <v>198</v>
      </c>
      <c r="B16" t="s">
        <v>1784</v>
      </c>
      <c r="C16" cm="1">
        <f t="array" ref="C16">SUMPRODUCT(('ALL 498 CONSOLIDATED NEW'!$N$2:$N$503=A$1)*(A16='ALL 498 CONSOLIDATED NEW'!$K$2:$M$503)*(ISNUMBER(MATCH('ALL 498 CONSOLIDATED NEW'!$G$2:$G$503,Table17131411212439[SCHOOL LIST],0))))</f>
        <v>4</v>
      </c>
      <c r="D16">
        <v>4</v>
      </c>
      <c r="E16">
        <f t="shared" si="0"/>
        <v>0</v>
      </c>
      <c r="F16" t="s">
        <v>198</v>
      </c>
      <c r="G16" t="s">
        <v>1785</v>
      </c>
      <c r="H16" cm="1">
        <f t="array" ref="H16">SUMPRODUCT(('ALL 498 CONSOLIDATED NEW'!$N$2:$N$503=F$1)*(F16='ALL 498 CONSOLIDATED NEW'!$K$2:$M$503)*(ISNUMBER(MATCH('ALL 498 CONSOLIDATED NEW'!$G$2:$G$503,Table17131411212439[SCHOOL LIST],0))))</f>
        <v>7</v>
      </c>
      <c r="I16">
        <v>7</v>
      </c>
      <c r="J16">
        <f t="shared" si="1"/>
        <v>0</v>
      </c>
      <c r="K16" t="s">
        <v>198</v>
      </c>
      <c r="L16">
        <v>105101015</v>
      </c>
      <c r="M16" cm="1">
        <f t="array" ref="M16">SUMPRODUCT(('ALL 498 CONSOLIDATED NEW'!$N$2:$N$503=K$1)*(K16='ALL 498 CONSOLIDATED NEW'!$K$2:$M$503)*(ISNUMBER(MATCH('ALL 498 CONSOLIDATED NEW'!$G$2:$G$503,Table17131411212439[SCHOOL LIST],0))))</f>
        <v>8</v>
      </c>
      <c r="N16">
        <v>8</v>
      </c>
      <c r="O16">
        <f t="shared" si="2"/>
        <v>0</v>
      </c>
    </row>
    <row r="17" spans="1:37">
      <c r="A17" t="s">
        <v>200</v>
      </c>
      <c r="B17" t="s">
        <v>1786</v>
      </c>
      <c r="C17" cm="1">
        <f t="array" ref="C17">SUMPRODUCT(('ALL 498 CONSOLIDATED NEW'!$N$2:$N$503=A$1)*(A17='ALL 498 CONSOLIDATED NEW'!$K$2:$M$503)*(ISNUMBER(MATCH('ALL 498 CONSOLIDATED NEW'!$G$2:$G$503,Table17131411212439[SCHOOL LIST],0))))</f>
        <v>10</v>
      </c>
      <c r="D17">
        <v>10</v>
      </c>
      <c r="E17">
        <f t="shared" si="0"/>
        <v>0</v>
      </c>
      <c r="F17" t="s">
        <v>200</v>
      </c>
      <c r="G17" t="s">
        <v>1787</v>
      </c>
      <c r="H17" cm="1">
        <f t="array" ref="H17">SUMPRODUCT(('ALL 498 CONSOLIDATED NEW'!$N$2:$N$503=F$1)*(F17='ALL 498 CONSOLIDATED NEW'!$K$2:$M$503)*(ISNUMBER(MATCH('ALL 498 CONSOLIDATED NEW'!$G$2:$G$503,Table17131411212439[SCHOOL LIST],0))))</f>
        <v>8</v>
      </c>
      <c r="I17">
        <v>8</v>
      </c>
      <c r="J17">
        <f t="shared" si="1"/>
        <v>0</v>
      </c>
      <c r="K17" t="s">
        <v>200</v>
      </c>
      <c r="L17">
        <v>105101016</v>
      </c>
      <c r="M17" cm="1">
        <f t="array" ref="M17">SUMPRODUCT(('ALL 498 CONSOLIDATED NEW'!$N$2:$N$503=K$1)*(K17='ALL 498 CONSOLIDATED NEW'!$K$2:$M$503)*(ISNUMBER(MATCH('ALL 498 CONSOLIDATED NEW'!$G$2:$G$503,Table17131411212439[SCHOOL LIST],0))))</f>
        <v>9</v>
      </c>
      <c r="N17">
        <v>9</v>
      </c>
      <c r="O17">
        <f t="shared" si="2"/>
        <v>0</v>
      </c>
    </row>
    <row r="18" spans="1:37">
      <c r="A18" t="s">
        <v>1788</v>
      </c>
      <c r="B18" t="s">
        <v>1789</v>
      </c>
      <c r="C18" cm="1">
        <f t="array" ref="C18">SUMPRODUCT(('ALL 498 CONSOLIDATED NEW'!$N$2:$N$503=A$1)*(A18='ALL 498 CONSOLIDATED NEW'!$K$2:$M$503)*(ISNUMBER(MATCH('ALL 498 CONSOLIDATED NEW'!$G$2:$G$503,Table17131411212439[SCHOOL LIST],0))))</f>
        <v>0</v>
      </c>
      <c r="D18">
        <v>0</v>
      </c>
      <c r="E18">
        <f t="shared" si="0"/>
        <v>0</v>
      </c>
      <c r="F18" t="s">
        <v>1788</v>
      </c>
      <c r="G18" t="s">
        <v>1790</v>
      </c>
      <c r="H18" cm="1">
        <f t="array" ref="H18">SUMPRODUCT(('ALL 498 CONSOLIDATED NEW'!$N$2:$N$503=F$1)*(F18='ALL 498 CONSOLIDATED NEW'!$K$2:$M$503)*(ISNUMBER(MATCH('ALL 498 CONSOLIDATED NEW'!$G$2:$G$503,Table17131411212439[SCHOOL LIST],0))))</f>
        <v>0</v>
      </c>
      <c r="I18">
        <v>0</v>
      </c>
      <c r="J18">
        <f t="shared" si="1"/>
        <v>0</v>
      </c>
      <c r="K18" t="s">
        <v>1788</v>
      </c>
      <c r="L18">
        <v>105101017</v>
      </c>
      <c r="M18" cm="1">
        <f t="array" ref="M18">SUMPRODUCT(('ALL 498 CONSOLIDATED NEW'!$N$2:$N$503=K$1)*(K18='ALL 498 CONSOLIDATED NEW'!$K$2:$M$503)*(ISNUMBER(MATCH('ALL 498 CONSOLIDATED NEW'!$G$2:$G$503,Table17131411212439[SCHOOL LIST],0))))</f>
        <v>0</v>
      </c>
      <c r="N18">
        <v>0</v>
      </c>
      <c r="O18">
        <f t="shared" si="2"/>
        <v>0</v>
      </c>
    </row>
    <row r="19" spans="1:37">
      <c r="A19" t="s">
        <v>315</v>
      </c>
      <c r="B19" t="s">
        <v>1791</v>
      </c>
      <c r="C19" cm="1">
        <f t="array" ref="C19">SUMPRODUCT(('ALL 498 CONSOLIDATED NEW'!$N$2:$N$503=A$1)*(A19='ALL 498 CONSOLIDATED NEW'!$K$2:$M$503)*(ISNUMBER(MATCH('ALL 498 CONSOLIDATED NEW'!$G$2:$G$503,Table17131411212439[SCHOOL LIST],0))))</f>
        <v>8</v>
      </c>
      <c r="D19">
        <v>8</v>
      </c>
      <c r="E19">
        <f t="shared" si="0"/>
        <v>0</v>
      </c>
      <c r="F19" t="s">
        <v>315</v>
      </c>
      <c r="G19" t="s">
        <v>1792</v>
      </c>
      <c r="H19" cm="1">
        <f t="array" ref="H19">SUMPRODUCT(('ALL 498 CONSOLIDATED NEW'!$N$2:$N$503=F$1)*(F19='ALL 498 CONSOLIDATED NEW'!$K$2:$M$503)*(ISNUMBER(MATCH('ALL 498 CONSOLIDATED NEW'!$G$2:$G$503,Table17131411212439[SCHOOL LIST],0))))</f>
        <v>7</v>
      </c>
      <c r="I19">
        <v>7</v>
      </c>
      <c r="J19">
        <f t="shared" si="1"/>
        <v>0</v>
      </c>
      <c r="K19" t="s">
        <v>315</v>
      </c>
      <c r="L19">
        <v>105101018</v>
      </c>
      <c r="M19" cm="1">
        <f t="array" ref="M19">SUMPRODUCT(('ALL 498 CONSOLIDATED NEW'!$N$2:$N$503=K$1)*(K19='ALL 498 CONSOLIDATED NEW'!$K$2:$M$503)*(ISNUMBER(MATCH('ALL 498 CONSOLIDATED NEW'!$G$2:$G$503,Table17131411212439[SCHOOL LIST],0))))</f>
        <v>7</v>
      </c>
      <c r="N19">
        <v>7</v>
      </c>
      <c r="O19">
        <f t="shared" si="2"/>
        <v>0</v>
      </c>
    </row>
    <row r="20" spans="1:37">
      <c r="A20" t="s">
        <v>199</v>
      </c>
      <c r="B20" t="s">
        <v>1793</v>
      </c>
      <c r="C20" cm="1">
        <f t="array" ref="C20">SUMPRODUCT(('ALL 498 CONSOLIDATED NEW'!$N$2:$N$503=A$1)*(A20='ALL 498 CONSOLIDATED NEW'!$K$2:$M$503)*(ISNUMBER(MATCH('ALL 498 CONSOLIDATED NEW'!$G$2:$G$503,Table17131411212439[SCHOOL LIST],0))))</f>
        <v>13</v>
      </c>
      <c r="D20">
        <v>13</v>
      </c>
      <c r="E20">
        <f t="shared" si="0"/>
        <v>0</v>
      </c>
      <c r="F20" t="s">
        <v>199</v>
      </c>
      <c r="G20" t="s">
        <v>1794</v>
      </c>
      <c r="H20" cm="1">
        <f t="array" ref="H20">SUMPRODUCT(('ALL 498 CONSOLIDATED NEW'!$N$2:$N$503=F$1)*(F20='ALL 498 CONSOLIDATED NEW'!$K$2:$M$503)*(ISNUMBER(MATCH('ALL 498 CONSOLIDATED NEW'!$G$2:$G$503,Table17131411212439[SCHOOL LIST],0))))</f>
        <v>9</v>
      </c>
      <c r="I20">
        <v>9</v>
      </c>
      <c r="J20">
        <f t="shared" si="1"/>
        <v>0</v>
      </c>
      <c r="K20" t="s">
        <v>199</v>
      </c>
      <c r="L20">
        <v>105101019</v>
      </c>
      <c r="M20" cm="1">
        <f t="array" ref="M20">SUMPRODUCT(('ALL 498 CONSOLIDATED NEW'!$N$2:$N$503=K$1)*(K20='ALL 498 CONSOLIDATED NEW'!$K$2:$M$503)*(ISNUMBER(MATCH('ALL 498 CONSOLIDATED NEW'!$G$2:$G$503,Table17131411212439[SCHOOL LIST],0))))</f>
        <v>9</v>
      </c>
      <c r="N20">
        <v>9</v>
      </c>
      <c r="O20">
        <f t="shared" si="2"/>
        <v>0</v>
      </c>
    </row>
    <row r="21" spans="1:37">
      <c r="A21" t="s">
        <v>635</v>
      </c>
      <c r="B21" t="s">
        <v>1795</v>
      </c>
      <c r="C21" cm="1">
        <f t="array" ref="C21">SUMPRODUCT(('ALL 498 CONSOLIDATED NEW'!$N$2:$N$503=A$1)*(A21='ALL 498 CONSOLIDATED NEW'!$K$2:$M$503)*(ISNUMBER(MATCH('ALL 498 CONSOLIDATED NEW'!$G$2:$G$503,Table17131411212439[SCHOOL LIST],0))))</f>
        <v>0</v>
      </c>
      <c r="D21">
        <v>0</v>
      </c>
      <c r="E21">
        <f t="shared" si="0"/>
        <v>0</v>
      </c>
      <c r="F21" t="s">
        <v>635</v>
      </c>
      <c r="G21" t="s">
        <v>1796</v>
      </c>
      <c r="H21" cm="1">
        <f t="array" ref="H21">SUMPRODUCT(('ALL 498 CONSOLIDATED NEW'!$N$2:$N$503=F$1)*(F21='ALL 498 CONSOLIDATED NEW'!$K$2:$M$503)*(ISNUMBER(MATCH('ALL 498 CONSOLIDATED NEW'!$G$2:$G$503,Table17131411212439[SCHOOL LIST],0))))</f>
        <v>0</v>
      </c>
      <c r="I21">
        <v>0</v>
      </c>
      <c r="J21">
        <f t="shared" si="1"/>
        <v>0</v>
      </c>
      <c r="K21" t="s">
        <v>635</v>
      </c>
      <c r="L21">
        <v>105101020</v>
      </c>
      <c r="M21" cm="1">
        <f t="array" ref="M21">SUMPRODUCT(('ALL 498 CONSOLIDATED NEW'!$N$2:$N$503=K$1)*(K21='ALL 498 CONSOLIDATED NEW'!$K$2:$M$503)*(ISNUMBER(MATCH('ALL 498 CONSOLIDATED NEW'!$G$2:$G$503,Table17131411212439[SCHOOL LIST],0))))</f>
        <v>0</v>
      </c>
      <c r="N21">
        <v>0</v>
      </c>
      <c r="O21">
        <f t="shared" si="2"/>
        <v>0</v>
      </c>
    </row>
    <row r="22" spans="1:37" s="20" customFormat="1" ht="30.75">
      <c r="B22" s="20" t="str">
        <f>A1</f>
        <v>Palm Pen Holder</v>
      </c>
      <c r="C22" s="20">
        <f>SUM(C2:C21)</f>
        <v>45</v>
      </c>
      <c r="D22">
        <f>SUM(D2:D21)</f>
        <v>45</v>
      </c>
      <c r="E22">
        <f t="shared" si="0"/>
        <v>0</v>
      </c>
      <c r="G22" s="20" t="str">
        <f>F1</f>
        <v>TOOTH  BRUSH ADAPTER</v>
      </c>
      <c r="H22" s="20">
        <f>SUM(H2:H21)</f>
        <v>45</v>
      </c>
      <c r="I22" s="20">
        <f>SUM(I2:I21)</f>
        <v>45</v>
      </c>
      <c r="J22">
        <f t="shared" si="1"/>
        <v>0</v>
      </c>
      <c r="L22" s="20" t="str">
        <f>K1</f>
        <v>Utensil Holder</v>
      </c>
      <c r="M22" s="20">
        <f>SUM(M2:M21)</f>
        <v>45</v>
      </c>
      <c r="N22" s="20">
        <f>SUM(N2:N21)</f>
        <v>45</v>
      </c>
      <c r="O22">
        <f t="shared" si="2"/>
        <v>0</v>
      </c>
      <c r="Q22" s="20" t="str">
        <f>P1</f>
        <v>Reading Bar - Curved</v>
      </c>
      <c r="R22" s="20">
        <f>SUM(R2:R21)</f>
        <v>2</v>
      </c>
      <c r="S22" s="20">
        <f>SUM(S2:S3)</f>
        <v>2</v>
      </c>
      <c r="T22">
        <f t="shared" ref="T22" si="3">R22-S22</f>
        <v>0</v>
      </c>
      <c r="V22" s="20" t="str">
        <f>U1</f>
        <v>Assistive Pencil Grip</v>
      </c>
      <c r="W22" s="20">
        <f>SUM(W2:W21)</f>
        <v>8</v>
      </c>
      <c r="X22" s="20">
        <f>SUM(X2:X3)</f>
        <v>8</v>
      </c>
      <c r="Y22" s="20">
        <f t="shared" ref="Y22" si="4">W22-X22</f>
        <v>0</v>
      </c>
      <c r="AA22" s="20" t="str">
        <f>Z1</f>
        <v>Button Aid</v>
      </c>
      <c r="AB22" s="20">
        <f>SUM(AB2:AB21)</f>
        <v>2</v>
      </c>
      <c r="AC22" s="20">
        <f>SUM(AC2:AC3)</f>
        <v>2</v>
      </c>
      <c r="AD22" s="20">
        <f t="shared" ref="AD22" si="5">AB22-AC22</f>
        <v>0</v>
      </c>
      <c r="AF22" s="20" t="str">
        <f>AE1</f>
        <v>LOW PROFILE SWITCH</v>
      </c>
      <c r="AG22" s="20">
        <f>SUM(AG2:AG21)</f>
        <v>0</v>
      </c>
      <c r="AH22" s="20">
        <f>SUM(AH2:AH3)</f>
        <v>0</v>
      </c>
      <c r="AI22" s="20">
        <f t="shared" ref="AI22" si="6">AG22-AH22</f>
        <v>0</v>
      </c>
      <c r="AJ22" s="20">
        <f>SUM(AG22,C22,H22,M22,R22,W22,AB22)</f>
        <v>147</v>
      </c>
      <c r="AK22" s="20" t="s">
        <v>1774</v>
      </c>
    </row>
    <row r="23" spans="1:37">
      <c r="AJ23">
        <f>SUM(C22,H22,M22,R22,W22,AB22)</f>
        <v>147</v>
      </c>
      <c r="AK23" t="s">
        <v>1797</v>
      </c>
    </row>
    <row r="24" spans="1:37">
      <c r="AJ24" s="113">
        <f>SUM(E22,J22,O22,T22,Y22,AD22)</f>
        <v>0</v>
      </c>
      <c r="AK24" s="113" t="s">
        <v>1798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676F-6428-41A0-A264-1BDAECF7B364}">
  <dimension ref="A1:AO24"/>
  <sheetViews>
    <sheetView workbookViewId="0">
      <pane ySplit="1" topLeftCell="B13" activePane="bottomLeft" state="frozen"/>
      <selection pane="bottomLeft" activeCell="AL2" sqref="AL2"/>
    </sheetView>
  </sheetViews>
  <sheetFormatPr defaultRowHeight="15"/>
  <cols>
    <col min="2" max="2" width="10" customWidth="1"/>
    <col min="3" max="5" width="4.42578125" customWidth="1"/>
    <col min="7" max="7" width="10.140625" customWidth="1"/>
    <col min="8" max="10" width="5.28515625" customWidth="1"/>
    <col min="12" max="12" width="10.85546875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 ht="45.75">
      <c r="A1" s="20" t="s">
        <v>111</v>
      </c>
      <c r="C1" s="20" t="s">
        <v>1747</v>
      </c>
      <c r="D1" s="20" t="s">
        <v>1748</v>
      </c>
      <c r="E1" s="20" t="s">
        <v>1749</v>
      </c>
      <c r="F1" s="20" t="s">
        <v>162</v>
      </c>
      <c r="H1" s="20" t="s">
        <v>1747</v>
      </c>
      <c r="I1" s="20" t="s">
        <v>1748</v>
      </c>
      <c r="J1" s="20" t="s">
        <v>1749</v>
      </c>
      <c r="K1" s="20" t="s">
        <v>117</v>
      </c>
      <c r="M1" s="20" t="s">
        <v>1747</v>
      </c>
      <c r="N1" s="20" t="s">
        <v>1748</v>
      </c>
      <c r="O1" s="20" t="s">
        <v>1749</v>
      </c>
      <c r="P1" s="20" t="s">
        <v>188</v>
      </c>
      <c r="R1" s="20" t="s">
        <v>1747</v>
      </c>
      <c r="S1" s="20" t="s">
        <v>1748</v>
      </c>
      <c r="T1" s="20" t="s">
        <v>1749</v>
      </c>
      <c r="U1" s="20" t="s">
        <v>16</v>
      </c>
      <c r="W1" s="20" t="s">
        <v>1747</v>
      </c>
      <c r="X1" s="20" t="s">
        <v>1748</v>
      </c>
      <c r="Y1" s="20" t="s">
        <v>1749</v>
      </c>
      <c r="Z1" s="20" t="s">
        <v>122</v>
      </c>
      <c r="AB1" s="20" t="s">
        <v>1747</v>
      </c>
      <c r="AC1" s="20" t="s">
        <v>1748</v>
      </c>
      <c r="AD1" s="20" t="s">
        <v>1749</v>
      </c>
      <c r="AE1" s="20" t="s">
        <v>12</v>
      </c>
      <c r="AG1" s="20" t="s">
        <v>1747</v>
      </c>
      <c r="AH1" s="20" t="s">
        <v>1748</v>
      </c>
      <c r="AI1" s="20" t="s">
        <v>1749</v>
      </c>
      <c r="AL1" t="s">
        <v>1750</v>
      </c>
    </row>
    <row r="2" spans="1:41">
      <c r="A2" t="s">
        <v>116</v>
      </c>
      <c r="B2" t="s">
        <v>1751</v>
      </c>
      <c r="C2" cm="1">
        <f t="array" ref="C2">SUMPRODUCT(('ALL 498 CONSOLIDATED NEW'!$N$2:$N$503=A$1)*(A2='ALL 498 CONSOLIDATED NEW'!$K$2:$M$503)*(ISNUMBER(MATCH('ALL 498 CONSOLIDATED NEW'!$G$2:$G$503,Table171314112124[SCHOOL LIST],0))))</f>
        <v>0</v>
      </c>
      <c r="D2">
        <v>0</v>
      </c>
      <c r="E2">
        <f>C2-D2</f>
        <v>0</v>
      </c>
      <c r="F2" t="s">
        <v>116</v>
      </c>
      <c r="G2" t="s">
        <v>1752</v>
      </c>
      <c r="H2" cm="1">
        <f t="array" ref="H2">SUMPRODUCT(('ALL 498 CONSOLIDATED NEW'!$N$2:$N$503=F$1)*(F2='ALL 498 CONSOLIDATED NEW'!$K$2:$M$503)*(ISNUMBER(MATCH('ALL 498 CONSOLIDATED NEW'!$G$2:$G$503,Table171314112124[SCHOOL LIST],0))))</f>
        <v>0</v>
      </c>
      <c r="I2">
        <v>0</v>
      </c>
      <c r="J2">
        <f>H2-I2</f>
        <v>0</v>
      </c>
      <c r="K2" t="s">
        <v>116</v>
      </c>
      <c r="L2">
        <v>105101001</v>
      </c>
      <c r="M2" cm="1">
        <f t="array" ref="M2">SUMPRODUCT(('ALL 498 CONSOLIDATED NEW'!$N$2:$N$503=K$1)*(K2='ALL 498 CONSOLIDATED NEW'!$K$2:$M$503)*(ISNUMBER(MATCH('ALL 498 CONSOLIDATED NEW'!$G$2:$G$503,Table171314112124[SCHOOL LIST],0))))</f>
        <v>0</v>
      </c>
      <c r="N2">
        <v>0</v>
      </c>
      <c r="O2">
        <f>M2-N2</f>
        <v>0</v>
      </c>
      <c r="P2" t="s">
        <v>186</v>
      </c>
      <c r="Q2">
        <v>302202001</v>
      </c>
      <c r="R2" cm="1">
        <f t="array" ref="R2">SUMPRODUCT(('ALL 498 CONSOLIDATED NEW'!$N$2:$N$503=P$1)*(P2='ALL 498 CONSOLIDATED NEW'!$K$2:$M$503)*(ISNUMBER(MATCH('ALL 498 CONSOLIDATED NEW'!$G$2:$G$503,Table171314112124[SCHOOL LIST],0))))</f>
        <v>0</v>
      </c>
      <c r="S2">
        <v>0</v>
      </c>
      <c r="T2">
        <f>R2-S2</f>
        <v>0</v>
      </c>
      <c r="U2" t="s">
        <v>1313</v>
      </c>
      <c r="V2">
        <v>301201999</v>
      </c>
      <c r="W2" cm="1">
        <f t="array" ref="W2">SUMPRODUCT(('ALL 498 CONSOLIDATED NEW'!$N$2:$N$503=U$1)*(U2='ALL 498 CONSOLIDATED NEW'!$K$2:$M$503)*(ISNUMBER(MATCH('ALL 498 CONSOLIDATED NEW'!$G$2:$G$503,Table171314112124[SCHOOL LIST],0))))</f>
        <v>0</v>
      </c>
      <c r="X2">
        <v>0</v>
      </c>
      <c r="Y2">
        <f>W2-X2</f>
        <v>0</v>
      </c>
      <c r="Z2" t="s">
        <v>1321</v>
      </c>
      <c r="AA2">
        <v>104104009</v>
      </c>
      <c r="AB2" cm="1">
        <f t="array" ref="AB2">SUMPRODUCT(('ALL 498 CONSOLIDATED NEW'!$N$2:$N$503=Z$1)*(Z2='ALL 498 CONSOLIDATED NEW'!$K$2:$M$503)*(ISNUMBER(MATCH('ALL 498 CONSOLIDATED NEW'!$G$2:$G$503,Table171314112124[SCHOOL LIST],0))))</f>
        <v>0</v>
      </c>
      <c r="AC2">
        <v>0</v>
      </c>
      <c r="AD2">
        <f>AB2-AC2</f>
        <v>0</v>
      </c>
      <c r="AE2" t="s">
        <v>1365</v>
      </c>
      <c r="AF2">
        <v>204301999</v>
      </c>
      <c r="AG2" cm="1">
        <f t="array" ref="AG2">SUMPRODUCT(('ALL 498 CONSOLIDATED NEW'!$N$2:$N$503=AE$1)*(AE2='ALL 498 CONSOLIDATED NEW'!$K$2:$M$503)*(ISNUMBER(MATCH('ALL 498 CONSOLIDATED NEW'!$G$2:$G$503,Table171314112124[SCHOOL LIST],0))))</f>
        <v>0</v>
      </c>
      <c r="AH2">
        <v>0</v>
      </c>
      <c r="AI2">
        <f>AG2-AH2</f>
        <v>0</v>
      </c>
      <c r="AL2" s="129"/>
    </row>
    <row r="3" spans="1:41">
      <c r="A3" t="s">
        <v>1753</v>
      </c>
      <c r="B3" t="s">
        <v>1754</v>
      </c>
      <c r="C3" cm="1">
        <f t="array" ref="C3">SUMPRODUCT(('ALL 498 CONSOLIDATED NEW'!$N$2:$N$503=A$1)*(A3='ALL 498 CONSOLIDATED NEW'!$K$2:$M$503)*(ISNUMBER(MATCH('ALL 498 CONSOLIDATED NEW'!$G$2:$G$503,Table171314112124[SCHOOL LIST],0))))</f>
        <v>0</v>
      </c>
      <c r="D3">
        <v>0</v>
      </c>
      <c r="E3">
        <f t="shared" ref="E3:E22" si="0">C3-D3</f>
        <v>0</v>
      </c>
      <c r="F3" t="s">
        <v>1753</v>
      </c>
      <c r="G3" t="s">
        <v>1755</v>
      </c>
      <c r="H3" cm="1">
        <f t="array" ref="H3">SUMPRODUCT(('ALL 498 CONSOLIDATED NEW'!$N$2:$N$503=F$1)*(F3='ALL 498 CONSOLIDATED NEW'!$K$2:$M$503)*(ISNUMBER(MATCH('ALL 498 CONSOLIDATED NEW'!$G$2:$G$503,Table171314112124[SCHOOL LIST],0))))</f>
        <v>0</v>
      </c>
      <c r="I3">
        <v>0</v>
      </c>
      <c r="J3">
        <f t="shared" ref="J3:J22" si="1">H3-I3</f>
        <v>0</v>
      </c>
      <c r="K3" t="s">
        <v>1753</v>
      </c>
      <c r="L3">
        <v>105101002</v>
      </c>
      <c r="M3" cm="1">
        <f t="array" ref="M3">SUMPRODUCT(('ALL 498 CONSOLIDATED NEW'!$N$2:$N$503=K$1)*(K3='ALL 498 CONSOLIDATED NEW'!$K$2:$M$503)*(ISNUMBER(MATCH('ALL 498 CONSOLIDATED NEW'!$G$2:$G$503,Table171314112124[SCHOOL LIST],0))))</f>
        <v>0</v>
      </c>
      <c r="N3">
        <v>0</v>
      </c>
      <c r="O3">
        <f t="shared" ref="O3:O22" si="2">M3-N3</f>
        <v>0</v>
      </c>
      <c r="P3" t="s">
        <v>187</v>
      </c>
      <c r="Q3" t="s">
        <v>1756</v>
      </c>
      <c r="R3" cm="1">
        <f t="array" ref="R3">SUMPRODUCT(('ALL 498 CONSOLIDATED NEW'!$N$2:$N$503=P$1)*(P3='ALL 498 CONSOLIDATED NEW'!$K$2:$M$503)*(ISNUMBER(MATCH('ALL 498 CONSOLIDATED NEW'!$G$2:$G$503,Table171314112124[SCHOOL LIST],0))))</f>
        <v>0</v>
      </c>
      <c r="S3">
        <v>0</v>
      </c>
      <c r="T3">
        <f>R3-S3</f>
        <v>0</v>
      </c>
      <c r="AL3" s="56"/>
      <c r="AM3" t="s">
        <v>1291</v>
      </c>
      <c r="AN3" t="s">
        <v>1304</v>
      </c>
      <c r="AO3" t="s">
        <v>1293</v>
      </c>
    </row>
    <row r="4" spans="1:41">
      <c r="A4" t="s">
        <v>109</v>
      </c>
      <c r="B4" t="s">
        <v>1757</v>
      </c>
      <c r="C4" cm="1">
        <f t="array" ref="C4">SUMPRODUCT(('ALL 498 CONSOLIDATED NEW'!$N$2:$N$503=A$1)*(A4='ALL 498 CONSOLIDATED NEW'!$K$2:$M$503)*(ISNUMBER(MATCH('ALL 498 CONSOLIDATED NEW'!$G$2:$G$503,Table171314112124[SCHOOL LIST],0))))</f>
        <v>0</v>
      </c>
      <c r="D4">
        <v>0</v>
      </c>
      <c r="E4">
        <f t="shared" si="0"/>
        <v>0</v>
      </c>
      <c r="F4" t="s">
        <v>109</v>
      </c>
      <c r="G4" t="s">
        <v>1758</v>
      </c>
      <c r="H4" cm="1">
        <f t="array" ref="H4">SUMPRODUCT(('ALL 498 CONSOLIDATED NEW'!$N$2:$N$503=F$1)*(F4='ALL 498 CONSOLIDATED NEW'!$K$2:$M$503)*(ISNUMBER(MATCH('ALL 498 CONSOLIDATED NEW'!$G$2:$G$503,Table171314112124[SCHOOL LIST],0))))</f>
        <v>0</v>
      </c>
      <c r="I4">
        <v>0</v>
      </c>
      <c r="J4">
        <f t="shared" si="1"/>
        <v>0</v>
      </c>
      <c r="K4" t="s">
        <v>109</v>
      </c>
      <c r="L4">
        <v>105101003</v>
      </c>
      <c r="M4" cm="1">
        <f t="array" ref="M4">SUMPRODUCT(('ALL 498 CONSOLIDATED NEW'!$N$2:$N$503=K$1)*(K4='ALL 498 CONSOLIDATED NEW'!$K$2:$M$503)*(ISNUMBER(MATCH('ALL 498 CONSOLIDATED NEW'!$G$2:$G$503,Table171314112124[SCHOOL LIST],0))))</f>
        <v>0</v>
      </c>
      <c r="N4">
        <v>0</v>
      </c>
      <c r="O4">
        <f t="shared" si="2"/>
        <v>0</v>
      </c>
      <c r="AL4" s="56"/>
      <c r="AM4">
        <v>1</v>
      </c>
      <c r="AN4" t="s">
        <v>111</v>
      </c>
      <c r="AO4">
        <f>C22/3</f>
        <v>0</v>
      </c>
    </row>
    <row r="5" spans="1:41">
      <c r="A5" t="s">
        <v>1759</v>
      </c>
      <c r="B5" t="s">
        <v>1760</v>
      </c>
      <c r="C5" cm="1">
        <f t="array" ref="C5">SUMPRODUCT(('ALL 498 CONSOLIDATED NEW'!$N$2:$N$503=A$1)*(A5='ALL 498 CONSOLIDATED NEW'!$K$2:$M$503)*(ISNUMBER(MATCH('ALL 498 CONSOLIDATED NEW'!$G$2:$G$503,Table171314112124[SCHOOL LIST],0))))</f>
        <v>0</v>
      </c>
      <c r="D5">
        <v>0</v>
      </c>
      <c r="E5">
        <f t="shared" si="0"/>
        <v>0</v>
      </c>
      <c r="F5" t="s">
        <v>1759</v>
      </c>
      <c r="G5" t="s">
        <v>1761</v>
      </c>
      <c r="H5" cm="1">
        <f t="array" ref="H5">SUMPRODUCT(('ALL 498 CONSOLIDATED NEW'!$N$2:$N$503=F$1)*(F5='ALL 498 CONSOLIDATED NEW'!$K$2:$M$503)*(ISNUMBER(MATCH('ALL 498 CONSOLIDATED NEW'!$G$2:$G$503,Table171314112124[SCHOOL LIST],0))))</f>
        <v>0</v>
      </c>
      <c r="I5">
        <v>0</v>
      </c>
      <c r="J5">
        <f t="shared" si="1"/>
        <v>0</v>
      </c>
      <c r="K5" t="s">
        <v>1759</v>
      </c>
      <c r="L5">
        <v>105101004</v>
      </c>
      <c r="M5" cm="1">
        <f t="array" ref="M5">SUMPRODUCT(('ALL 498 CONSOLIDATED NEW'!$N$2:$N$503=K$1)*(K5='ALL 498 CONSOLIDATED NEW'!$K$2:$M$503)*(ISNUMBER(MATCH('ALL 498 CONSOLIDATED NEW'!$G$2:$G$503,Table171314112124[SCHOOL LIST],0))))</f>
        <v>0</v>
      </c>
      <c r="N5">
        <v>0</v>
      </c>
      <c r="O5">
        <f t="shared" si="2"/>
        <v>0</v>
      </c>
      <c r="AL5" s="87"/>
      <c r="AM5">
        <v>2</v>
      </c>
      <c r="AN5" t="s">
        <v>162</v>
      </c>
      <c r="AO5">
        <f>H22/3</f>
        <v>0</v>
      </c>
    </row>
    <row r="6" spans="1:41">
      <c r="A6" t="s">
        <v>130</v>
      </c>
      <c r="B6" t="s">
        <v>1762</v>
      </c>
      <c r="C6" cm="1">
        <f t="array" ref="C6">SUMPRODUCT(('ALL 498 CONSOLIDATED NEW'!$N$2:$N$503=A$1)*(A6='ALL 498 CONSOLIDATED NEW'!$K$2:$M$503)*(ISNUMBER(MATCH('ALL 498 CONSOLIDATED NEW'!$G$2:$G$503,Table171314112124[SCHOOL LIST],0))))</f>
        <v>0</v>
      </c>
      <c r="D6">
        <v>0</v>
      </c>
      <c r="E6">
        <f t="shared" si="0"/>
        <v>0</v>
      </c>
      <c r="F6" t="s">
        <v>130</v>
      </c>
      <c r="G6" t="s">
        <v>1763</v>
      </c>
      <c r="H6" cm="1">
        <f t="array" ref="H6">SUMPRODUCT(('ALL 498 CONSOLIDATED NEW'!$N$2:$N$503=F$1)*(F6='ALL 498 CONSOLIDATED NEW'!$K$2:$M$503)*(ISNUMBER(MATCH('ALL 498 CONSOLIDATED NEW'!$G$2:$G$503,Table171314112124[SCHOOL LIST],0))))</f>
        <v>0</v>
      </c>
      <c r="I6">
        <v>0</v>
      </c>
      <c r="J6">
        <f t="shared" si="1"/>
        <v>0</v>
      </c>
      <c r="K6" t="s">
        <v>130</v>
      </c>
      <c r="L6">
        <v>105101005</v>
      </c>
      <c r="M6" cm="1">
        <f t="array" ref="M6">SUMPRODUCT(('ALL 498 CONSOLIDATED NEW'!$N$2:$N$503=K$1)*(K6='ALL 498 CONSOLIDATED NEW'!$K$2:$M$503)*(ISNUMBER(MATCH('ALL 498 CONSOLIDATED NEW'!$G$2:$G$503,Table171314112124[SCHOOL LIST],0))))</f>
        <v>0</v>
      </c>
      <c r="N6">
        <v>0</v>
      </c>
      <c r="O6">
        <f t="shared" si="2"/>
        <v>0</v>
      </c>
      <c r="AL6" s="56"/>
      <c r="AM6">
        <v>3</v>
      </c>
      <c r="AN6" t="s">
        <v>117</v>
      </c>
      <c r="AO6">
        <f>M22/3</f>
        <v>0</v>
      </c>
    </row>
    <row r="7" spans="1:41">
      <c r="A7" t="s">
        <v>443</v>
      </c>
      <c r="B7" t="s">
        <v>1764</v>
      </c>
      <c r="C7" cm="1">
        <f t="array" ref="C7">SUMPRODUCT(('ALL 498 CONSOLIDATED NEW'!$N$2:$N$503=A$1)*(A7='ALL 498 CONSOLIDATED NEW'!$K$2:$M$503)*(ISNUMBER(MATCH('ALL 498 CONSOLIDATED NEW'!$G$2:$G$503,Table171314112124[SCHOOL LIST],0))))</f>
        <v>0</v>
      </c>
      <c r="D7">
        <v>0</v>
      </c>
      <c r="E7">
        <f t="shared" si="0"/>
        <v>0</v>
      </c>
      <c r="F7" t="s">
        <v>443</v>
      </c>
      <c r="G7" t="s">
        <v>1765</v>
      </c>
      <c r="H7" cm="1">
        <f t="array" ref="H7">SUMPRODUCT(('ALL 498 CONSOLIDATED NEW'!$N$2:$N$503=F$1)*(F7='ALL 498 CONSOLIDATED NEW'!$K$2:$M$503)*(ISNUMBER(MATCH('ALL 498 CONSOLIDATED NEW'!$G$2:$G$503,Table171314112124[SCHOOL LIST],0))))</f>
        <v>0</v>
      </c>
      <c r="I7">
        <v>0</v>
      </c>
      <c r="J7">
        <f t="shared" si="1"/>
        <v>0</v>
      </c>
      <c r="K7" t="s">
        <v>443</v>
      </c>
      <c r="L7">
        <v>105101006</v>
      </c>
      <c r="M7" cm="1">
        <f t="array" ref="M7">SUMPRODUCT(('ALL 498 CONSOLIDATED NEW'!$N$2:$N$503=K$1)*(K7='ALL 498 CONSOLIDATED NEW'!$K$2:$M$503)*(ISNUMBER(MATCH('ALL 498 CONSOLIDATED NEW'!$G$2:$G$503,Table171314112124[SCHOOL LIST],0))))</f>
        <v>0</v>
      </c>
      <c r="N7">
        <v>0</v>
      </c>
      <c r="O7">
        <f t="shared" si="2"/>
        <v>0</v>
      </c>
      <c r="AL7" s="87"/>
      <c r="AM7">
        <v>4</v>
      </c>
      <c r="AN7" t="s">
        <v>188</v>
      </c>
      <c r="AO7">
        <f>R22/2</f>
        <v>0</v>
      </c>
    </row>
    <row r="8" spans="1:41">
      <c r="A8" t="s">
        <v>110</v>
      </c>
      <c r="B8" t="s">
        <v>1766</v>
      </c>
      <c r="C8" cm="1">
        <f t="array" ref="C8">SUMPRODUCT(('ALL 498 CONSOLIDATED NEW'!$N$2:$N$503=A$1)*(A8='ALL 498 CONSOLIDATED NEW'!$K$2:$M$503)*(ISNUMBER(MATCH('ALL 498 CONSOLIDATED NEW'!$G$2:$G$503,Table171314112124[SCHOOL LIST],0))))</f>
        <v>0</v>
      </c>
      <c r="D8">
        <v>0</v>
      </c>
      <c r="E8">
        <f t="shared" si="0"/>
        <v>0</v>
      </c>
      <c r="F8" t="s">
        <v>110</v>
      </c>
      <c r="G8" t="s">
        <v>1767</v>
      </c>
      <c r="H8" cm="1">
        <f t="array" ref="H8">SUMPRODUCT(('ALL 498 CONSOLIDATED NEW'!$N$2:$N$503=F$1)*(F8='ALL 498 CONSOLIDATED NEW'!$K$2:$M$503)*(ISNUMBER(MATCH('ALL 498 CONSOLIDATED NEW'!$G$2:$G$503,Table171314112124[SCHOOL LIST],0))))</f>
        <v>0</v>
      </c>
      <c r="I8">
        <v>0</v>
      </c>
      <c r="J8">
        <f t="shared" si="1"/>
        <v>0</v>
      </c>
      <c r="K8" t="s">
        <v>110</v>
      </c>
      <c r="L8">
        <v>105101007</v>
      </c>
      <c r="M8" cm="1">
        <f t="array" ref="M8">SUMPRODUCT(('ALL 498 CONSOLIDATED NEW'!$N$2:$N$503=K$1)*(K8='ALL 498 CONSOLIDATED NEW'!$K$2:$M$503)*(ISNUMBER(MATCH('ALL 498 CONSOLIDATED NEW'!$G$2:$G$503,Table171314112124[SCHOOL LIST],0))))</f>
        <v>0</v>
      </c>
      <c r="N8">
        <v>0</v>
      </c>
      <c r="O8">
        <f t="shared" si="2"/>
        <v>0</v>
      </c>
      <c r="AL8" s="56"/>
      <c r="AM8">
        <v>5</v>
      </c>
      <c r="AN8" t="s">
        <v>16</v>
      </c>
      <c r="AO8">
        <f>W22/2</f>
        <v>0</v>
      </c>
    </row>
    <row r="9" spans="1:41">
      <c r="A9" t="s">
        <v>108</v>
      </c>
      <c r="B9" t="s">
        <v>1768</v>
      </c>
      <c r="C9" cm="1">
        <f t="array" ref="C9">SUMPRODUCT(('ALL 498 CONSOLIDATED NEW'!$N$2:$N$503=A$1)*(A9='ALL 498 CONSOLIDATED NEW'!$K$2:$M$503)*(ISNUMBER(MATCH('ALL 498 CONSOLIDATED NEW'!$G$2:$G$503,Table171314112124[SCHOOL LIST],0))))</f>
        <v>0</v>
      </c>
      <c r="D9">
        <v>0</v>
      </c>
      <c r="E9">
        <f t="shared" si="0"/>
        <v>0</v>
      </c>
      <c r="F9" t="s">
        <v>108</v>
      </c>
      <c r="G9" t="s">
        <v>1769</v>
      </c>
      <c r="H9" cm="1">
        <f t="array" ref="H9">SUMPRODUCT(('ALL 498 CONSOLIDATED NEW'!$N$2:$N$503=F$1)*(F9='ALL 498 CONSOLIDATED NEW'!$K$2:$M$503)*(ISNUMBER(MATCH('ALL 498 CONSOLIDATED NEW'!$G$2:$G$503,Table171314112124[SCHOOL LIST],0))))</f>
        <v>0</v>
      </c>
      <c r="I9">
        <v>0</v>
      </c>
      <c r="J9">
        <f t="shared" si="1"/>
        <v>0</v>
      </c>
      <c r="K9" t="s">
        <v>108</v>
      </c>
      <c r="L9">
        <v>105101008</v>
      </c>
      <c r="M9" cm="1">
        <f t="array" ref="M9">SUMPRODUCT(('ALL 498 CONSOLIDATED NEW'!$N$2:$N$503=K$1)*(K9='ALL 498 CONSOLIDATED NEW'!$K$2:$M$503)*(ISNUMBER(MATCH('ALL 498 CONSOLIDATED NEW'!$G$2:$G$503,Table171314112124[SCHOOL LIST],0))))</f>
        <v>0</v>
      </c>
      <c r="N9">
        <v>0</v>
      </c>
      <c r="O9">
        <f t="shared" si="2"/>
        <v>0</v>
      </c>
      <c r="AL9" s="56"/>
      <c r="AM9">
        <v>6</v>
      </c>
      <c r="AN9" t="s">
        <v>122</v>
      </c>
      <c r="AO9">
        <f>AB22</f>
        <v>0</v>
      </c>
    </row>
    <row r="10" spans="1:41">
      <c r="A10" t="s">
        <v>250</v>
      </c>
      <c r="B10" t="s">
        <v>1770</v>
      </c>
      <c r="C10" cm="1">
        <f t="array" ref="C10">SUMPRODUCT(('ALL 498 CONSOLIDATED NEW'!$N$2:$N$503=A$1)*(A10='ALL 498 CONSOLIDATED NEW'!$K$2:$M$503)*(ISNUMBER(MATCH('ALL 498 CONSOLIDATED NEW'!$G$2:$G$503,Table171314112124[SCHOOL LIST],0))))</f>
        <v>0</v>
      </c>
      <c r="D10">
        <v>0</v>
      </c>
      <c r="E10">
        <f t="shared" si="0"/>
        <v>0</v>
      </c>
      <c r="F10" t="s">
        <v>250</v>
      </c>
      <c r="G10" t="s">
        <v>1771</v>
      </c>
      <c r="H10" cm="1">
        <f t="array" ref="H10">SUMPRODUCT(('ALL 498 CONSOLIDATED NEW'!$N$2:$N$503=F$1)*(F10='ALL 498 CONSOLIDATED NEW'!$K$2:$M$503)*(ISNUMBER(MATCH('ALL 498 CONSOLIDATED NEW'!$G$2:$G$503,Table171314112124[SCHOOL LIST],0))))</f>
        <v>0</v>
      </c>
      <c r="I10">
        <v>0</v>
      </c>
      <c r="J10">
        <f t="shared" si="1"/>
        <v>0</v>
      </c>
      <c r="K10" t="s">
        <v>250</v>
      </c>
      <c r="L10">
        <v>105101009</v>
      </c>
      <c r="M10" cm="1">
        <f t="array" ref="M10">SUMPRODUCT(('ALL 498 CONSOLIDATED NEW'!$N$2:$N$503=K$1)*(K10='ALL 498 CONSOLIDATED NEW'!$K$2:$M$503)*(ISNUMBER(MATCH('ALL 498 CONSOLIDATED NEW'!$G$2:$G$503,Table171314112124[SCHOOL LIST],0))))</f>
        <v>0</v>
      </c>
      <c r="N10">
        <v>0</v>
      </c>
      <c r="O10">
        <f t="shared" si="2"/>
        <v>0</v>
      </c>
      <c r="AL10" s="56"/>
      <c r="AM10">
        <v>7</v>
      </c>
      <c r="AN10" t="s">
        <v>12</v>
      </c>
      <c r="AO10">
        <f>AG22</f>
        <v>0</v>
      </c>
    </row>
    <row r="11" spans="1:41">
      <c r="A11" t="s">
        <v>135</v>
      </c>
      <c r="B11" t="s">
        <v>1772</v>
      </c>
      <c r="C11" cm="1">
        <f t="array" ref="C11">SUMPRODUCT(('ALL 498 CONSOLIDATED NEW'!$N$2:$N$503=A$1)*(A11='ALL 498 CONSOLIDATED NEW'!$K$2:$M$503)*(ISNUMBER(MATCH('ALL 498 CONSOLIDATED NEW'!$G$2:$G$503,Table171314112124[SCHOOL LIST],0))))</f>
        <v>0</v>
      </c>
      <c r="D11">
        <v>0</v>
      </c>
      <c r="E11">
        <f t="shared" si="0"/>
        <v>0</v>
      </c>
      <c r="F11" t="s">
        <v>135</v>
      </c>
      <c r="G11" t="s">
        <v>1773</v>
      </c>
      <c r="H11" cm="1">
        <f t="array" ref="H11">SUMPRODUCT(('ALL 498 CONSOLIDATED NEW'!$N$2:$N$503=F$1)*(F11='ALL 498 CONSOLIDATED NEW'!$K$2:$M$503)*(ISNUMBER(MATCH('ALL 498 CONSOLIDATED NEW'!$G$2:$G$503,Table171314112124[SCHOOL LIST],0))))</f>
        <v>0</v>
      </c>
      <c r="I11">
        <v>0</v>
      </c>
      <c r="J11">
        <f t="shared" si="1"/>
        <v>0</v>
      </c>
      <c r="K11" t="s">
        <v>135</v>
      </c>
      <c r="L11">
        <v>105101010</v>
      </c>
      <c r="M11" cm="1">
        <f t="array" ref="M11">SUMPRODUCT(('ALL 498 CONSOLIDATED NEW'!$N$2:$N$503=K$1)*(K11='ALL 498 CONSOLIDATED NEW'!$K$2:$M$503)*(ISNUMBER(MATCH('ALL 498 CONSOLIDATED NEW'!$G$2:$G$503,Table171314112124[SCHOOL LIST],0))))</f>
        <v>0</v>
      </c>
      <c r="N11">
        <v>0</v>
      </c>
      <c r="O11">
        <f t="shared" si="2"/>
        <v>0</v>
      </c>
      <c r="AL11" s="56"/>
      <c r="AN11" s="99" t="s">
        <v>1774</v>
      </c>
      <c r="AO11">
        <f>SUM(AO4:AO10)</f>
        <v>0</v>
      </c>
    </row>
    <row r="12" spans="1:41">
      <c r="A12" t="s">
        <v>150</v>
      </c>
      <c r="B12" t="s">
        <v>1775</v>
      </c>
      <c r="C12" cm="1">
        <f t="array" ref="C12">SUMPRODUCT(('ALL 498 CONSOLIDATED NEW'!$N$2:$N$503=A$1)*(A12='ALL 498 CONSOLIDATED NEW'!$K$2:$M$503)*(ISNUMBER(MATCH('ALL 498 CONSOLIDATED NEW'!$G$2:$G$503,Table171314112124[SCHOOL LIST],0))))</f>
        <v>0</v>
      </c>
      <c r="D12">
        <v>0</v>
      </c>
      <c r="E12">
        <f t="shared" si="0"/>
        <v>0</v>
      </c>
      <c r="F12" t="s">
        <v>150</v>
      </c>
      <c r="G12" t="s">
        <v>1776</v>
      </c>
      <c r="H12" cm="1">
        <f t="array" ref="H12">SUMPRODUCT(('ALL 498 CONSOLIDATED NEW'!$N$2:$N$503=F$1)*(F12='ALL 498 CONSOLIDATED NEW'!$K$2:$M$503)*(ISNUMBER(MATCH('ALL 498 CONSOLIDATED NEW'!$G$2:$G$503,Table171314112124[SCHOOL LIST],0))))</f>
        <v>0</v>
      </c>
      <c r="I12">
        <v>0</v>
      </c>
      <c r="J12">
        <f t="shared" si="1"/>
        <v>0</v>
      </c>
      <c r="K12" t="s">
        <v>150</v>
      </c>
      <c r="L12">
        <v>105101011</v>
      </c>
      <c r="M12" cm="1">
        <f t="array" ref="M12">SUMPRODUCT(('ALL 498 CONSOLIDATED NEW'!$N$2:$N$503=K$1)*(K12='ALL 498 CONSOLIDATED NEW'!$K$2:$M$503)*(ISNUMBER(MATCH('ALL 498 CONSOLIDATED NEW'!$G$2:$G$503,Table171314112124[SCHOOL LIST],0))))</f>
        <v>0</v>
      </c>
      <c r="N12">
        <v>0</v>
      </c>
      <c r="O12">
        <f t="shared" si="2"/>
        <v>0</v>
      </c>
      <c r="AL12" s="56"/>
      <c r="AN12" s="99" t="s">
        <v>1777</v>
      </c>
      <c r="AO12">
        <f>SUM(AO4:AO9)</f>
        <v>0</v>
      </c>
    </row>
    <row r="13" spans="1:41">
      <c r="A13" t="s">
        <v>846</v>
      </c>
      <c r="B13" t="s">
        <v>1778</v>
      </c>
      <c r="C13" cm="1">
        <f t="array" ref="C13">SUMPRODUCT(('ALL 498 CONSOLIDATED NEW'!$N$2:$N$503=A$1)*(A13='ALL 498 CONSOLIDATED NEW'!$K$2:$M$503)*(ISNUMBER(MATCH('ALL 498 CONSOLIDATED NEW'!$G$2:$G$503,Table171314112124[SCHOOL LIST],0))))</f>
        <v>0</v>
      </c>
      <c r="D13">
        <v>0</v>
      </c>
      <c r="E13">
        <f t="shared" si="0"/>
        <v>0</v>
      </c>
      <c r="F13" t="s">
        <v>846</v>
      </c>
      <c r="G13" t="s">
        <v>1779</v>
      </c>
      <c r="H13" cm="1">
        <f t="array" ref="H13">SUMPRODUCT(('ALL 498 CONSOLIDATED NEW'!$N$2:$N$503=F$1)*(F13='ALL 498 CONSOLIDATED NEW'!$K$2:$M$503)*(ISNUMBER(MATCH('ALL 498 CONSOLIDATED NEW'!$G$2:$G$503,Table171314112124[SCHOOL LIST],0))))</f>
        <v>0</v>
      </c>
      <c r="I13">
        <v>0</v>
      </c>
      <c r="J13">
        <f t="shared" si="1"/>
        <v>0</v>
      </c>
      <c r="K13" t="s">
        <v>846</v>
      </c>
      <c r="L13">
        <v>105101012</v>
      </c>
      <c r="M13" cm="1">
        <f t="array" ref="M13">SUMPRODUCT(('ALL 498 CONSOLIDATED NEW'!$N$2:$N$503=K$1)*(K13='ALL 498 CONSOLIDATED NEW'!$K$2:$M$503)*(ISNUMBER(MATCH('ALL 498 CONSOLIDATED NEW'!$G$2:$G$503,Table171314112124[SCHOOL LIST],0))))</f>
        <v>0</v>
      </c>
      <c r="N13">
        <v>0</v>
      </c>
      <c r="O13">
        <f t="shared" si="2"/>
        <v>0</v>
      </c>
      <c r="AL13" s="98"/>
    </row>
    <row r="14" spans="1:41">
      <c r="A14" t="s">
        <v>251</v>
      </c>
      <c r="B14" t="s">
        <v>1780</v>
      </c>
      <c r="C14" cm="1">
        <f t="array" ref="C14">SUMPRODUCT(('ALL 498 CONSOLIDATED NEW'!$N$2:$N$503=A$1)*(A14='ALL 498 CONSOLIDATED NEW'!$K$2:$M$503)*(ISNUMBER(MATCH('ALL 498 CONSOLIDATED NEW'!$G$2:$G$503,Table171314112124[SCHOOL LIST],0))))</f>
        <v>0</v>
      </c>
      <c r="D14">
        <v>0</v>
      </c>
      <c r="E14">
        <f t="shared" si="0"/>
        <v>0</v>
      </c>
      <c r="F14" t="s">
        <v>251</v>
      </c>
      <c r="G14" t="s">
        <v>1781</v>
      </c>
      <c r="H14" cm="1">
        <f t="array" ref="H14">SUMPRODUCT(('ALL 498 CONSOLIDATED NEW'!$N$2:$N$503=F$1)*(F14='ALL 498 CONSOLIDATED NEW'!$K$2:$M$503)*(ISNUMBER(MATCH('ALL 498 CONSOLIDATED NEW'!$G$2:$G$503,Table171314112124[SCHOOL LIST],0))))</f>
        <v>0</v>
      </c>
      <c r="I14">
        <v>0</v>
      </c>
      <c r="J14">
        <f t="shared" si="1"/>
        <v>0</v>
      </c>
      <c r="K14" t="s">
        <v>251</v>
      </c>
      <c r="L14">
        <v>105101013</v>
      </c>
      <c r="M14" cm="1">
        <f t="array" ref="M14">SUMPRODUCT(('ALL 498 CONSOLIDATED NEW'!$N$2:$N$503=K$1)*(K14='ALL 498 CONSOLIDATED NEW'!$K$2:$M$503)*(ISNUMBER(MATCH('ALL 498 CONSOLIDATED NEW'!$G$2:$G$503,Table171314112124[SCHOOL LIST],0))))</f>
        <v>0</v>
      </c>
      <c r="N14">
        <v>0</v>
      </c>
      <c r="O14">
        <f t="shared" si="2"/>
        <v>0</v>
      </c>
    </row>
    <row r="15" spans="1:41">
      <c r="A15" t="s">
        <v>136</v>
      </c>
      <c r="B15" t="s">
        <v>1782</v>
      </c>
      <c r="C15" cm="1">
        <f t="array" ref="C15">SUMPRODUCT(('ALL 498 CONSOLIDATED NEW'!$N$2:$N$503=A$1)*(A15='ALL 498 CONSOLIDATED NEW'!$K$2:$M$503)*(ISNUMBER(MATCH('ALL 498 CONSOLIDATED NEW'!$G$2:$G$503,Table171314112124[SCHOOL LIST],0))))</f>
        <v>0</v>
      </c>
      <c r="D15">
        <v>0</v>
      </c>
      <c r="E15">
        <f t="shared" si="0"/>
        <v>0</v>
      </c>
      <c r="F15" t="s">
        <v>136</v>
      </c>
      <c r="G15" t="s">
        <v>1783</v>
      </c>
      <c r="H15" cm="1">
        <f t="array" ref="H15">SUMPRODUCT(('ALL 498 CONSOLIDATED NEW'!$N$2:$N$503=F$1)*(F15='ALL 498 CONSOLIDATED NEW'!$K$2:$M$503)*(ISNUMBER(MATCH('ALL 498 CONSOLIDATED NEW'!$G$2:$G$503,Table171314112124[SCHOOL LIST],0))))</f>
        <v>0</v>
      </c>
      <c r="I15">
        <v>0</v>
      </c>
      <c r="J15">
        <f t="shared" si="1"/>
        <v>0</v>
      </c>
      <c r="K15" t="s">
        <v>136</v>
      </c>
      <c r="L15">
        <v>105101014</v>
      </c>
      <c r="M15" cm="1">
        <f t="array" ref="M15">SUMPRODUCT(('ALL 498 CONSOLIDATED NEW'!$N$2:$N$503=K$1)*(K15='ALL 498 CONSOLIDATED NEW'!$K$2:$M$503)*(ISNUMBER(MATCH('ALL 498 CONSOLIDATED NEW'!$G$2:$G$503,Table171314112124[SCHOOL LIST],0))))</f>
        <v>0</v>
      </c>
      <c r="N15">
        <v>0</v>
      </c>
      <c r="O15">
        <f t="shared" si="2"/>
        <v>0</v>
      </c>
    </row>
    <row r="16" spans="1:41">
      <c r="A16" t="s">
        <v>198</v>
      </c>
      <c r="B16" t="s">
        <v>1784</v>
      </c>
      <c r="C16" cm="1">
        <f t="array" ref="C16">SUMPRODUCT(('ALL 498 CONSOLIDATED NEW'!$N$2:$N$503=A$1)*(A16='ALL 498 CONSOLIDATED NEW'!$K$2:$M$503)*(ISNUMBER(MATCH('ALL 498 CONSOLIDATED NEW'!$G$2:$G$503,Table171314112124[SCHOOL LIST],0))))</f>
        <v>0</v>
      </c>
      <c r="D16">
        <v>0</v>
      </c>
      <c r="E16">
        <f t="shared" si="0"/>
        <v>0</v>
      </c>
      <c r="F16" t="s">
        <v>198</v>
      </c>
      <c r="G16" t="s">
        <v>1785</v>
      </c>
      <c r="H16" cm="1">
        <f t="array" ref="H16">SUMPRODUCT(('ALL 498 CONSOLIDATED NEW'!$N$2:$N$503=F$1)*(F16='ALL 498 CONSOLIDATED NEW'!$K$2:$M$503)*(ISNUMBER(MATCH('ALL 498 CONSOLIDATED NEW'!$G$2:$G$503,Table171314112124[SCHOOL LIST],0))))</f>
        <v>0</v>
      </c>
      <c r="I16">
        <v>0</v>
      </c>
      <c r="J16">
        <f t="shared" si="1"/>
        <v>0</v>
      </c>
      <c r="K16" t="s">
        <v>198</v>
      </c>
      <c r="L16">
        <v>105101015</v>
      </c>
      <c r="M16" cm="1">
        <f t="array" ref="M16">SUMPRODUCT(('ALL 498 CONSOLIDATED NEW'!$N$2:$N$503=K$1)*(K16='ALL 498 CONSOLIDATED NEW'!$K$2:$M$503)*(ISNUMBER(MATCH('ALL 498 CONSOLIDATED NEW'!$G$2:$G$503,Table171314112124[SCHOOL LIST],0))))</f>
        <v>0</v>
      </c>
      <c r="N16">
        <v>0</v>
      </c>
      <c r="O16">
        <f t="shared" si="2"/>
        <v>0</v>
      </c>
    </row>
    <row r="17" spans="1:37">
      <c r="A17" t="s">
        <v>200</v>
      </c>
      <c r="B17" t="s">
        <v>1786</v>
      </c>
      <c r="C17" cm="1">
        <f t="array" ref="C17">SUMPRODUCT(('ALL 498 CONSOLIDATED NEW'!$N$2:$N$503=A$1)*(A17='ALL 498 CONSOLIDATED NEW'!$K$2:$M$503)*(ISNUMBER(MATCH('ALL 498 CONSOLIDATED NEW'!$G$2:$G$503,Table171314112124[SCHOOL LIST],0))))</f>
        <v>0</v>
      </c>
      <c r="D17">
        <v>0</v>
      </c>
      <c r="E17">
        <f t="shared" si="0"/>
        <v>0</v>
      </c>
      <c r="F17" t="s">
        <v>200</v>
      </c>
      <c r="G17" t="s">
        <v>1787</v>
      </c>
      <c r="H17" cm="1">
        <f t="array" ref="H17">SUMPRODUCT(('ALL 498 CONSOLIDATED NEW'!$N$2:$N$503=F$1)*(F17='ALL 498 CONSOLIDATED NEW'!$K$2:$M$503)*(ISNUMBER(MATCH('ALL 498 CONSOLIDATED NEW'!$G$2:$G$503,Table171314112124[SCHOOL LIST],0))))</f>
        <v>0</v>
      </c>
      <c r="I17">
        <v>0</v>
      </c>
      <c r="J17">
        <f t="shared" si="1"/>
        <v>0</v>
      </c>
      <c r="K17" t="s">
        <v>200</v>
      </c>
      <c r="L17">
        <v>105101016</v>
      </c>
      <c r="M17" cm="1">
        <f t="array" ref="M17">SUMPRODUCT(('ALL 498 CONSOLIDATED NEW'!$N$2:$N$503=K$1)*(K17='ALL 498 CONSOLIDATED NEW'!$K$2:$M$503)*(ISNUMBER(MATCH('ALL 498 CONSOLIDATED NEW'!$G$2:$G$503,Table171314112124[SCHOOL LIST],0))))</f>
        <v>0</v>
      </c>
      <c r="N17">
        <v>0</v>
      </c>
      <c r="O17">
        <f t="shared" si="2"/>
        <v>0</v>
      </c>
    </row>
    <row r="18" spans="1:37">
      <c r="A18" t="s">
        <v>1788</v>
      </c>
      <c r="B18" t="s">
        <v>1789</v>
      </c>
      <c r="C18" cm="1">
        <f t="array" ref="C18">SUMPRODUCT(('ALL 498 CONSOLIDATED NEW'!$N$2:$N$503=A$1)*(A18='ALL 498 CONSOLIDATED NEW'!$K$2:$M$503)*(ISNUMBER(MATCH('ALL 498 CONSOLIDATED NEW'!$G$2:$G$503,Table171314112124[SCHOOL LIST],0))))</f>
        <v>0</v>
      </c>
      <c r="D18">
        <v>0</v>
      </c>
      <c r="E18">
        <f t="shared" si="0"/>
        <v>0</v>
      </c>
      <c r="F18" t="s">
        <v>1788</v>
      </c>
      <c r="G18" t="s">
        <v>1790</v>
      </c>
      <c r="H18" cm="1">
        <f t="array" ref="H18">SUMPRODUCT(('ALL 498 CONSOLIDATED NEW'!$N$2:$N$503=F$1)*(F18='ALL 498 CONSOLIDATED NEW'!$K$2:$M$503)*(ISNUMBER(MATCH('ALL 498 CONSOLIDATED NEW'!$G$2:$G$503,Table171314112124[SCHOOL LIST],0))))</f>
        <v>0</v>
      </c>
      <c r="I18">
        <v>0</v>
      </c>
      <c r="J18">
        <f t="shared" si="1"/>
        <v>0</v>
      </c>
      <c r="K18" t="s">
        <v>1788</v>
      </c>
      <c r="L18">
        <v>105101017</v>
      </c>
      <c r="M18" cm="1">
        <f t="array" ref="M18">SUMPRODUCT(('ALL 498 CONSOLIDATED NEW'!$N$2:$N$503=K$1)*(K18='ALL 498 CONSOLIDATED NEW'!$K$2:$M$503)*(ISNUMBER(MATCH('ALL 498 CONSOLIDATED NEW'!$G$2:$G$503,Table171314112124[SCHOOL LIST],0))))</f>
        <v>0</v>
      </c>
      <c r="N18">
        <v>0</v>
      </c>
      <c r="O18">
        <f t="shared" si="2"/>
        <v>0</v>
      </c>
    </row>
    <row r="19" spans="1:37">
      <c r="A19" t="s">
        <v>315</v>
      </c>
      <c r="B19" t="s">
        <v>1791</v>
      </c>
      <c r="C19" cm="1">
        <f t="array" ref="C19">SUMPRODUCT(('ALL 498 CONSOLIDATED NEW'!$N$2:$N$503=A$1)*(A19='ALL 498 CONSOLIDATED NEW'!$K$2:$M$503)*(ISNUMBER(MATCH('ALL 498 CONSOLIDATED NEW'!$G$2:$G$503,Table171314112124[SCHOOL LIST],0))))</f>
        <v>0</v>
      </c>
      <c r="D19">
        <v>0</v>
      </c>
      <c r="E19">
        <f t="shared" si="0"/>
        <v>0</v>
      </c>
      <c r="F19" t="s">
        <v>315</v>
      </c>
      <c r="G19" t="s">
        <v>1792</v>
      </c>
      <c r="H19" cm="1">
        <f t="array" ref="H19">SUMPRODUCT(('ALL 498 CONSOLIDATED NEW'!$N$2:$N$503=F$1)*(F19='ALL 498 CONSOLIDATED NEW'!$K$2:$M$503)*(ISNUMBER(MATCH('ALL 498 CONSOLIDATED NEW'!$G$2:$G$503,Table171314112124[SCHOOL LIST],0))))</f>
        <v>0</v>
      </c>
      <c r="I19">
        <v>0</v>
      </c>
      <c r="J19">
        <f t="shared" si="1"/>
        <v>0</v>
      </c>
      <c r="K19" t="s">
        <v>315</v>
      </c>
      <c r="L19">
        <v>105101018</v>
      </c>
      <c r="M19" cm="1">
        <f t="array" ref="M19">SUMPRODUCT(('ALL 498 CONSOLIDATED NEW'!$N$2:$N$503=K$1)*(K19='ALL 498 CONSOLIDATED NEW'!$K$2:$M$503)*(ISNUMBER(MATCH('ALL 498 CONSOLIDATED NEW'!$G$2:$G$503,Table171314112124[SCHOOL LIST],0))))</f>
        <v>0</v>
      </c>
      <c r="N19">
        <v>0</v>
      </c>
      <c r="O19">
        <f t="shared" si="2"/>
        <v>0</v>
      </c>
    </row>
    <row r="20" spans="1:37">
      <c r="A20" t="s">
        <v>199</v>
      </c>
      <c r="B20" t="s">
        <v>1793</v>
      </c>
      <c r="C20" cm="1">
        <f t="array" ref="C20">SUMPRODUCT(('ALL 498 CONSOLIDATED NEW'!$N$2:$N$503=A$1)*(A20='ALL 498 CONSOLIDATED NEW'!$K$2:$M$503)*(ISNUMBER(MATCH('ALL 498 CONSOLIDATED NEW'!$G$2:$G$503,Table171314112124[SCHOOL LIST],0))))</f>
        <v>0</v>
      </c>
      <c r="D20">
        <v>0</v>
      </c>
      <c r="E20">
        <f t="shared" si="0"/>
        <v>0</v>
      </c>
      <c r="F20" t="s">
        <v>199</v>
      </c>
      <c r="G20" t="s">
        <v>1794</v>
      </c>
      <c r="H20" cm="1">
        <f t="array" ref="H20">SUMPRODUCT(('ALL 498 CONSOLIDATED NEW'!$N$2:$N$503=F$1)*(F20='ALL 498 CONSOLIDATED NEW'!$K$2:$M$503)*(ISNUMBER(MATCH('ALL 498 CONSOLIDATED NEW'!$G$2:$G$503,Table171314112124[SCHOOL LIST],0))))</f>
        <v>0</v>
      </c>
      <c r="I20">
        <v>0</v>
      </c>
      <c r="J20">
        <f t="shared" si="1"/>
        <v>0</v>
      </c>
      <c r="K20" t="s">
        <v>199</v>
      </c>
      <c r="L20">
        <v>105101019</v>
      </c>
      <c r="M20" cm="1">
        <f t="array" ref="M20">SUMPRODUCT(('ALL 498 CONSOLIDATED NEW'!$N$2:$N$503=K$1)*(K20='ALL 498 CONSOLIDATED NEW'!$K$2:$M$503)*(ISNUMBER(MATCH('ALL 498 CONSOLIDATED NEW'!$G$2:$G$503,Table171314112124[SCHOOL LIST],0))))</f>
        <v>0</v>
      </c>
      <c r="N20">
        <v>0</v>
      </c>
      <c r="O20">
        <f t="shared" si="2"/>
        <v>0</v>
      </c>
    </row>
    <row r="21" spans="1:37">
      <c r="A21" t="s">
        <v>635</v>
      </c>
      <c r="B21" t="s">
        <v>1795</v>
      </c>
      <c r="C21" cm="1">
        <f t="array" ref="C21">SUMPRODUCT(('ALL 498 CONSOLIDATED NEW'!$N$2:$N$503=A$1)*(A21='ALL 498 CONSOLIDATED NEW'!$K$2:$M$503)*(ISNUMBER(MATCH('ALL 498 CONSOLIDATED NEW'!$G$2:$G$503,Table171314112124[SCHOOL LIST],0))))</f>
        <v>0</v>
      </c>
      <c r="D21">
        <v>0</v>
      </c>
      <c r="E21">
        <f t="shared" si="0"/>
        <v>0</v>
      </c>
      <c r="F21" t="s">
        <v>635</v>
      </c>
      <c r="G21" t="s">
        <v>1796</v>
      </c>
      <c r="H21" cm="1">
        <f t="array" ref="H21">SUMPRODUCT(('ALL 498 CONSOLIDATED NEW'!$N$2:$N$503=F$1)*(F21='ALL 498 CONSOLIDATED NEW'!$K$2:$M$503)*(ISNUMBER(MATCH('ALL 498 CONSOLIDATED NEW'!$G$2:$G$503,Table171314112124[SCHOOL LIST],0))))</f>
        <v>0</v>
      </c>
      <c r="I21">
        <v>0</v>
      </c>
      <c r="J21">
        <f t="shared" si="1"/>
        <v>0</v>
      </c>
      <c r="K21" t="s">
        <v>635</v>
      </c>
      <c r="L21">
        <v>105101020</v>
      </c>
      <c r="M21" cm="1">
        <f t="array" ref="M21">SUMPRODUCT(('ALL 498 CONSOLIDATED NEW'!$N$2:$N$503=K$1)*(K21='ALL 498 CONSOLIDATED NEW'!$K$2:$M$503)*(ISNUMBER(MATCH('ALL 498 CONSOLIDATED NEW'!$G$2:$G$503,Table171314112124[SCHOOL LIST],0))))</f>
        <v>0</v>
      </c>
      <c r="N21">
        <v>0</v>
      </c>
      <c r="O21">
        <f t="shared" si="2"/>
        <v>0</v>
      </c>
    </row>
    <row r="22" spans="1:37" s="20" customFormat="1" ht="30.75">
      <c r="B22" s="20" t="str">
        <f>A1</f>
        <v>Palm Pen Holder</v>
      </c>
      <c r="C22" s="20">
        <f>SUM(C2:C21)</f>
        <v>0</v>
      </c>
      <c r="D22">
        <f>SUM(D2:D21)</f>
        <v>0</v>
      </c>
      <c r="E22">
        <f t="shared" si="0"/>
        <v>0</v>
      </c>
      <c r="G22" s="20" t="str">
        <f>F1</f>
        <v>TOOTH  BRUSH ADAPTER</v>
      </c>
      <c r="H22" s="20">
        <f>SUM(H2:H21)</f>
        <v>0</v>
      </c>
      <c r="I22" s="20">
        <f>SUM(I2:I21)</f>
        <v>0</v>
      </c>
      <c r="J22">
        <f t="shared" si="1"/>
        <v>0</v>
      </c>
      <c r="L22" s="20" t="str">
        <f>K1</f>
        <v>Utensil Holder</v>
      </c>
      <c r="M22" s="20">
        <f>SUM(M2:M21)</f>
        <v>0</v>
      </c>
      <c r="N22" s="20">
        <f>SUM(N2:N21)</f>
        <v>0</v>
      </c>
      <c r="O22">
        <f t="shared" si="2"/>
        <v>0</v>
      </c>
      <c r="Q22" s="20" t="str">
        <f>P1</f>
        <v>Reading Bar - Curved</v>
      </c>
      <c r="R22" s="20">
        <f>SUM(R2:R21)</f>
        <v>0</v>
      </c>
      <c r="S22" s="20">
        <f>SUM(S2:S3)</f>
        <v>0</v>
      </c>
      <c r="T22">
        <f t="shared" ref="T22" si="3">R22-S22</f>
        <v>0</v>
      </c>
      <c r="V22" s="20" t="str">
        <f>U1</f>
        <v>Assistive Pencil Grip</v>
      </c>
      <c r="W22" s="20">
        <f>SUM(W2:W21)</f>
        <v>0</v>
      </c>
      <c r="X22" s="20">
        <f>SUM(X2:X3)</f>
        <v>0</v>
      </c>
      <c r="Y22" s="20">
        <f t="shared" ref="Y22" si="4">W22-X22</f>
        <v>0</v>
      </c>
      <c r="AA22" s="20" t="str">
        <f>Z1</f>
        <v>Button Aid</v>
      </c>
      <c r="AB22" s="20">
        <f>SUM(AB2:AB21)</f>
        <v>0</v>
      </c>
      <c r="AC22" s="20">
        <f>SUM(AC2:AC3)</f>
        <v>0</v>
      </c>
      <c r="AD22" s="20">
        <f t="shared" ref="AD22" si="5">AB22-AC22</f>
        <v>0</v>
      </c>
      <c r="AF22" s="20" t="str">
        <f>AE1</f>
        <v>LOW PROFILE SWITCH</v>
      </c>
      <c r="AG22" s="20">
        <f>SUM(AG2:AG21)</f>
        <v>0</v>
      </c>
      <c r="AH22" s="20">
        <f>SUM(AH2:AH3)</f>
        <v>0</v>
      </c>
      <c r="AI22" s="20">
        <f t="shared" ref="AI22" si="6">AG22-AH22</f>
        <v>0</v>
      </c>
      <c r="AJ22" s="20">
        <f>SUM(AG22,C22,H22,M22,R22,W22,AB22)</f>
        <v>0</v>
      </c>
      <c r="AK22" s="20" t="s">
        <v>1774</v>
      </c>
    </row>
    <row r="23" spans="1:37">
      <c r="AJ23">
        <f>SUM(C22,H22,M22,R22,W22,AB22)</f>
        <v>0</v>
      </c>
      <c r="AK23" t="s">
        <v>1797</v>
      </c>
    </row>
    <row r="24" spans="1:37">
      <c r="AJ24" s="113">
        <f>SUM(E22,J22,O22,T22,Y22,AD22)</f>
        <v>0</v>
      </c>
      <c r="AK24" s="113" t="s">
        <v>1798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CB8B-3D3A-4386-A408-3916FDD7FD69}">
  <dimension ref="A1:AO24"/>
  <sheetViews>
    <sheetView workbookViewId="0">
      <pane ySplit="1" topLeftCell="B12" activePane="bottomLeft" state="frozen"/>
      <selection pane="bottomLeft" activeCell="B12" sqref="B12"/>
    </sheetView>
  </sheetViews>
  <sheetFormatPr defaultRowHeight="15"/>
  <cols>
    <col min="1" max="1" width="18.42578125" bestFit="1" customWidth="1"/>
    <col min="2" max="2" width="6.5703125" bestFit="1" customWidth="1"/>
    <col min="3" max="3" width="21.5703125" bestFit="1" customWidth="1"/>
    <col min="4" max="4" width="7.7109375" bestFit="1" customWidth="1"/>
    <col min="5" max="5" width="16.28515625" bestFit="1" customWidth="1"/>
    <col min="6" max="6" width="7.7109375" bestFit="1" customWidth="1"/>
    <col min="7" max="7" width="14.140625" bestFit="1" customWidth="1"/>
    <col min="8" max="8" width="7.7109375" bestFit="1" customWidth="1"/>
    <col min="9" max="9" width="21.5703125" bestFit="1" customWidth="1"/>
    <col min="10" max="10" width="13" bestFit="1" customWidth="1"/>
    <col min="11" max="11" width="8" bestFit="1" customWidth="1"/>
    <col min="12" max="12" width="11.140625" bestFit="1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>
      <c r="A1" s="116" t="s">
        <v>111</v>
      </c>
      <c r="B1" s="117" t="s">
        <v>1799</v>
      </c>
      <c r="C1" s="118" t="s">
        <v>1800</v>
      </c>
      <c r="D1" s="118" t="s">
        <v>1801</v>
      </c>
      <c r="E1" s="117" t="s">
        <v>117</v>
      </c>
      <c r="F1" s="117" t="s">
        <v>1802</v>
      </c>
      <c r="G1" s="118" t="s">
        <v>1803</v>
      </c>
      <c r="H1" s="118" t="s">
        <v>1804</v>
      </c>
      <c r="I1" s="118" t="s">
        <v>16</v>
      </c>
      <c r="J1" s="118" t="s">
        <v>122</v>
      </c>
      <c r="K1" s="118" t="s">
        <v>1774</v>
      </c>
      <c r="L1" s="119" t="s">
        <v>1805</v>
      </c>
      <c r="AL1" t="s">
        <v>1750</v>
      </c>
    </row>
    <row r="2" spans="1:41">
      <c r="A2" s="120" t="s">
        <v>116</v>
      </c>
      <c r="B2" s="121">
        <v>2</v>
      </c>
      <c r="C2" s="121" t="s">
        <v>116</v>
      </c>
      <c r="D2" s="121"/>
      <c r="E2" s="121" t="s">
        <v>116</v>
      </c>
      <c r="F2" s="121">
        <v>3</v>
      </c>
      <c r="G2" s="122" t="s">
        <v>186</v>
      </c>
      <c r="H2" s="122"/>
      <c r="I2" s="123">
        <v>14</v>
      </c>
      <c r="J2" s="123">
        <v>0</v>
      </c>
      <c r="K2" s="123"/>
      <c r="L2" s="124"/>
      <c r="AL2" s="88"/>
    </row>
    <row r="3" spans="1:41">
      <c r="A3" s="120" t="s">
        <v>1753</v>
      </c>
      <c r="B3" s="121">
        <v>3</v>
      </c>
      <c r="C3" s="121" t="s">
        <v>1753</v>
      </c>
      <c r="D3" s="121"/>
      <c r="E3" s="121" t="s">
        <v>1753</v>
      </c>
      <c r="F3" s="121"/>
      <c r="G3" s="95" t="s">
        <v>187</v>
      </c>
      <c r="H3" s="95"/>
      <c r="I3" s="95"/>
      <c r="J3" s="95"/>
      <c r="K3" s="95"/>
      <c r="L3" s="125"/>
      <c r="AL3" s="56"/>
      <c r="AM3" t="s">
        <v>1291</v>
      </c>
      <c r="AN3" t="s">
        <v>1304</v>
      </c>
      <c r="AO3" t="s">
        <v>1293</v>
      </c>
    </row>
    <row r="4" spans="1:41">
      <c r="A4" s="120" t="s">
        <v>109</v>
      </c>
      <c r="B4" s="121"/>
      <c r="C4" s="121" t="s">
        <v>109</v>
      </c>
      <c r="D4" s="121"/>
      <c r="E4" s="121" t="s">
        <v>109</v>
      </c>
      <c r="F4" s="121">
        <v>2</v>
      </c>
      <c r="G4" s="95"/>
      <c r="H4" s="95"/>
      <c r="I4" s="95"/>
      <c r="J4" s="95"/>
      <c r="K4" s="95"/>
      <c r="L4" s="125"/>
      <c r="AL4" s="56"/>
      <c r="AM4">
        <v>1</v>
      </c>
      <c r="AN4" t="s">
        <v>111</v>
      </c>
      <c r="AO4">
        <f>C22/3</f>
        <v>0</v>
      </c>
    </row>
    <row r="5" spans="1:41">
      <c r="A5" s="120" t="s">
        <v>1759</v>
      </c>
      <c r="B5" s="121"/>
      <c r="C5" s="121" t="s">
        <v>1759</v>
      </c>
      <c r="D5" s="121"/>
      <c r="E5" s="121" t="s">
        <v>1759</v>
      </c>
      <c r="F5" s="121"/>
      <c r="G5" s="95"/>
      <c r="H5" s="95"/>
      <c r="I5" s="95"/>
      <c r="J5" s="95"/>
      <c r="K5" s="95"/>
      <c r="L5" s="125"/>
      <c r="AL5" s="87"/>
      <c r="AM5">
        <v>2</v>
      </c>
      <c r="AN5" t="s">
        <v>162</v>
      </c>
      <c r="AO5">
        <f>H22/3</f>
        <v>0</v>
      </c>
    </row>
    <row r="6" spans="1:41">
      <c r="A6" s="120" t="s">
        <v>130</v>
      </c>
      <c r="B6" s="121"/>
      <c r="C6" s="121" t="s">
        <v>130</v>
      </c>
      <c r="D6" s="121"/>
      <c r="E6" s="121" t="s">
        <v>130</v>
      </c>
      <c r="F6" s="121">
        <v>2</v>
      </c>
      <c r="G6" s="95"/>
      <c r="H6" s="95"/>
      <c r="I6" s="95"/>
      <c r="J6" s="95"/>
      <c r="K6" s="95"/>
      <c r="L6" s="125"/>
      <c r="AL6" s="87"/>
      <c r="AM6">
        <v>3</v>
      </c>
      <c r="AN6" t="s">
        <v>117</v>
      </c>
      <c r="AO6">
        <f>M22/3</f>
        <v>0</v>
      </c>
    </row>
    <row r="7" spans="1:41">
      <c r="A7" s="120" t="s">
        <v>443</v>
      </c>
      <c r="B7" s="121"/>
      <c r="C7" s="121" t="s">
        <v>443</v>
      </c>
      <c r="D7" s="121"/>
      <c r="E7" s="121" t="s">
        <v>443</v>
      </c>
      <c r="F7" s="121"/>
      <c r="G7" s="95"/>
      <c r="H7" s="95"/>
      <c r="I7" s="95"/>
      <c r="J7" s="95"/>
      <c r="K7" s="95"/>
      <c r="L7" s="125"/>
      <c r="AL7" s="87"/>
      <c r="AM7">
        <v>4</v>
      </c>
      <c r="AN7" t="s">
        <v>188</v>
      </c>
      <c r="AO7">
        <f>R22/2</f>
        <v>0</v>
      </c>
    </row>
    <row r="8" spans="1:41">
      <c r="A8" s="120" t="s">
        <v>110</v>
      </c>
      <c r="B8" s="121">
        <v>1</v>
      </c>
      <c r="C8" s="121" t="s">
        <v>110</v>
      </c>
      <c r="D8" s="121">
        <v>1</v>
      </c>
      <c r="E8" s="121" t="s">
        <v>110</v>
      </c>
      <c r="F8" s="121"/>
      <c r="G8" s="95"/>
      <c r="H8" s="95"/>
      <c r="I8" s="95"/>
      <c r="J8" s="95"/>
      <c r="K8" s="95"/>
      <c r="L8" s="125"/>
      <c r="AL8" s="56"/>
      <c r="AM8">
        <v>5</v>
      </c>
      <c r="AN8" t="s">
        <v>16</v>
      </c>
      <c r="AO8">
        <f>W22/2</f>
        <v>0</v>
      </c>
    </row>
    <row r="9" spans="1:41">
      <c r="A9" s="120" t="s">
        <v>108</v>
      </c>
      <c r="B9" s="121"/>
      <c r="C9" s="121" t="s">
        <v>108</v>
      </c>
      <c r="D9" s="121">
        <v>1</v>
      </c>
      <c r="E9" s="121" t="s">
        <v>108</v>
      </c>
      <c r="F9" s="121"/>
      <c r="G9" s="95"/>
      <c r="H9" s="95"/>
      <c r="I9" s="95"/>
      <c r="J9" s="95"/>
      <c r="K9" s="95"/>
      <c r="L9" s="125"/>
      <c r="AL9" s="56"/>
      <c r="AM9">
        <v>6</v>
      </c>
      <c r="AN9" t="s">
        <v>122</v>
      </c>
      <c r="AO9">
        <f>AB22</f>
        <v>0</v>
      </c>
    </row>
    <row r="10" spans="1:41">
      <c r="A10" s="120" t="s">
        <v>250</v>
      </c>
      <c r="B10" s="121"/>
      <c r="C10" s="121" t="s">
        <v>250</v>
      </c>
      <c r="D10" s="121"/>
      <c r="E10" s="121" t="s">
        <v>250</v>
      </c>
      <c r="F10" s="121"/>
      <c r="G10" s="95"/>
      <c r="H10" s="95"/>
      <c r="I10" s="95"/>
      <c r="J10" s="95"/>
      <c r="K10" s="95"/>
      <c r="L10" s="125"/>
      <c r="AL10" s="56"/>
      <c r="AM10">
        <v>7</v>
      </c>
      <c r="AN10" t="s">
        <v>12</v>
      </c>
      <c r="AO10">
        <f>AG22</f>
        <v>0</v>
      </c>
    </row>
    <row r="11" spans="1:41">
      <c r="A11" s="120" t="s">
        <v>135</v>
      </c>
      <c r="B11" s="121"/>
      <c r="C11" s="121" t="s">
        <v>135</v>
      </c>
      <c r="D11" s="121">
        <v>1</v>
      </c>
      <c r="E11" s="121" t="s">
        <v>135</v>
      </c>
      <c r="F11" s="121">
        <v>5</v>
      </c>
      <c r="G11" s="95"/>
      <c r="H11" s="95"/>
      <c r="I11" s="95"/>
      <c r="J11" s="95"/>
      <c r="K11" s="95"/>
      <c r="L11" s="125"/>
      <c r="AL11" s="56"/>
      <c r="AN11" s="99" t="s">
        <v>1774</v>
      </c>
      <c r="AO11">
        <f>SUM(AO4:AO10)</f>
        <v>0</v>
      </c>
    </row>
    <row r="12" spans="1:41">
      <c r="A12" s="120" t="s">
        <v>150</v>
      </c>
      <c r="B12" s="121"/>
      <c r="C12" s="121" t="s">
        <v>150</v>
      </c>
      <c r="D12" s="121">
        <v>1</v>
      </c>
      <c r="E12" s="121" t="s">
        <v>150</v>
      </c>
      <c r="F12" s="121">
        <v>6</v>
      </c>
      <c r="G12" s="95"/>
      <c r="H12" s="95"/>
      <c r="I12" s="95"/>
      <c r="J12" s="95"/>
      <c r="K12" s="95"/>
      <c r="L12" s="125"/>
      <c r="AL12" s="56"/>
      <c r="AN12" s="99" t="s">
        <v>1777</v>
      </c>
      <c r="AO12">
        <f>SUM(AO4:AO9)</f>
        <v>0</v>
      </c>
    </row>
    <row r="13" spans="1:41">
      <c r="A13" s="120" t="s">
        <v>846</v>
      </c>
      <c r="B13" s="121"/>
      <c r="C13" s="121" t="s">
        <v>846</v>
      </c>
      <c r="D13" s="121"/>
      <c r="E13" s="121" t="s">
        <v>846</v>
      </c>
      <c r="F13" s="121"/>
      <c r="G13" s="95"/>
      <c r="H13" s="95"/>
      <c r="I13" s="95"/>
      <c r="J13" s="95"/>
      <c r="K13" s="95"/>
      <c r="L13" s="125"/>
      <c r="AL13" s="98"/>
    </row>
    <row r="14" spans="1:41">
      <c r="A14" s="120" t="s">
        <v>251</v>
      </c>
      <c r="B14" s="121"/>
      <c r="C14" s="121" t="s">
        <v>251</v>
      </c>
      <c r="D14" s="121"/>
      <c r="E14" s="121" t="s">
        <v>251</v>
      </c>
      <c r="F14" s="121"/>
      <c r="G14" s="95"/>
      <c r="H14" s="95"/>
      <c r="I14" s="95"/>
      <c r="J14" s="95"/>
      <c r="K14" s="95"/>
      <c r="L14" s="125"/>
    </row>
    <row r="15" spans="1:41">
      <c r="A15" s="120" t="s">
        <v>136</v>
      </c>
      <c r="B15" s="121"/>
      <c r="C15" s="121" t="s">
        <v>136</v>
      </c>
      <c r="D15" s="121">
        <v>1</v>
      </c>
      <c r="E15" s="121" t="s">
        <v>136</v>
      </c>
      <c r="F15" s="121">
        <v>6</v>
      </c>
      <c r="G15" s="95"/>
      <c r="H15" s="95"/>
      <c r="I15" s="95"/>
      <c r="J15" s="95"/>
      <c r="K15" s="95"/>
      <c r="L15" s="125"/>
    </row>
    <row r="16" spans="1:41">
      <c r="A16" s="120" t="s">
        <v>198</v>
      </c>
      <c r="B16" s="121"/>
      <c r="C16" s="121" t="s">
        <v>198</v>
      </c>
      <c r="D16" s="121"/>
      <c r="E16" s="121" t="s">
        <v>198</v>
      </c>
      <c r="F16" s="121"/>
      <c r="G16" s="95"/>
      <c r="H16" s="95"/>
      <c r="I16" s="95"/>
      <c r="J16" s="95"/>
      <c r="K16" s="95"/>
      <c r="L16" s="125"/>
    </row>
    <row r="17" spans="1:37">
      <c r="A17" s="120" t="s">
        <v>200</v>
      </c>
      <c r="B17" s="121"/>
      <c r="C17" s="121" t="s">
        <v>200</v>
      </c>
      <c r="D17" s="121"/>
      <c r="E17" s="121" t="s">
        <v>200</v>
      </c>
      <c r="F17" s="121"/>
      <c r="G17" s="95"/>
      <c r="H17" s="95"/>
      <c r="I17" s="95"/>
      <c r="J17" s="95"/>
      <c r="K17" s="95"/>
      <c r="L17" s="125"/>
    </row>
    <row r="18" spans="1:37">
      <c r="A18" s="120" t="s">
        <v>1788</v>
      </c>
      <c r="B18" s="121"/>
      <c r="C18" s="121" t="s">
        <v>1788</v>
      </c>
      <c r="D18" s="121"/>
      <c r="E18" s="121" t="s">
        <v>1788</v>
      </c>
      <c r="F18" s="121"/>
      <c r="G18" s="95"/>
      <c r="H18" s="95"/>
      <c r="I18" s="95"/>
      <c r="J18" s="95"/>
      <c r="K18" s="95"/>
      <c r="L18" s="125"/>
    </row>
    <row r="19" spans="1:37">
      <c r="A19" s="120" t="s">
        <v>315</v>
      </c>
      <c r="B19" s="121"/>
      <c r="C19" s="121" t="s">
        <v>315</v>
      </c>
      <c r="D19" s="121"/>
      <c r="E19" s="121" t="s">
        <v>315</v>
      </c>
      <c r="F19" s="121"/>
      <c r="G19" s="95"/>
      <c r="H19" s="95"/>
      <c r="I19" s="95"/>
      <c r="J19" s="95"/>
      <c r="K19" s="95"/>
      <c r="L19" s="125"/>
    </row>
    <row r="20" spans="1:37">
      <c r="A20" s="120" t="s">
        <v>199</v>
      </c>
      <c r="B20" s="121"/>
      <c r="C20" s="121" t="s">
        <v>199</v>
      </c>
      <c r="D20" s="121">
        <v>1</v>
      </c>
      <c r="E20" s="121" t="s">
        <v>199</v>
      </c>
      <c r="F20" s="121"/>
      <c r="G20" s="95"/>
      <c r="H20" s="95"/>
      <c r="I20" s="95"/>
      <c r="J20" s="95"/>
      <c r="K20" s="95"/>
      <c r="L20" s="125"/>
    </row>
    <row r="21" spans="1:37">
      <c r="A21" s="120" t="s">
        <v>635</v>
      </c>
      <c r="B21" s="121"/>
      <c r="C21" s="121" t="s">
        <v>635</v>
      </c>
      <c r="D21" s="121"/>
      <c r="E21" s="121" t="s">
        <v>635</v>
      </c>
      <c r="F21" s="121">
        <v>1</v>
      </c>
      <c r="G21" s="95"/>
      <c r="H21" s="95"/>
      <c r="I21" s="95"/>
      <c r="J21" s="95"/>
      <c r="K21" s="95"/>
      <c r="L21" s="125"/>
    </row>
    <row r="22" spans="1:37" s="20" customFormat="1">
      <c r="A22" s="126"/>
      <c r="B22" s="127">
        <f>SUM(B2:B21)</f>
        <v>6</v>
      </c>
      <c r="C22" s="127"/>
      <c r="D22" s="127">
        <f>SUM(D2:D21)</f>
        <v>6</v>
      </c>
      <c r="E22" s="127"/>
      <c r="F22" s="127">
        <f>SUM(F2:F21)</f>
        <v>25</v>
      </c>
      <c r="G22" s="127"/>
      <c r="H22" s="127">
        <f>SUM(H2:H3)</f>
        <v>0</v>
      </c>
      <c r="I22" s="127">
        <f>I2</f>
        <v>14</v>
      </c>
      <c r="J22" s="127">
        <f>J2</f>
        <v>0</v>
      </c>
      <c r="K22" s="127">
        <f>SUM(B22,D22,F22,H22,I22)</f>
        <v>51</v>
      </c>
      <c r="L22" s="128"/>
      <c r="O22"/>
      <c r="T22"/>
    </row>
    <row r="24" spans="1:37">
      <c r="AJ24" s="113"/>
      <c r="AK24" s="11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EBA0-D1A5-424D-9228-253F86A066D2}">
  <dimension ref="A1:AO24"/>
  <sheetViews>
    <sheetView workbookViewId="0">
      <pane ySplit="1" topLeftCell="A6" activePane="bottomLeft" state="frozen"/>
      <selection pane="bottomLeft" activeCell="K2" sqref="K2"/>
    </sheetView>
  </sheetViews>
  <sheetFormatPr defaultRowHeight="15"/>
  <cols>
    <col min="1" max="1" width="18.42578125" bestFit="1" customWidth="1"/>
    <col min="2" max="2" width="6.5703125" bestFit="1" customWidth="1"/>
    <col min="3" max="3" width="21.5703125" bestFit="1" customWidth="1"/>
    <col min="4" max="4" width="7.7109375" bestFit="1" customWidth="1"/>
    <col min="5" max="5" width="16.28515625" bestFit="1" customWidth="1"/>
    <col min="6" max="6" width="7.7109375" bestFit="1" customWidth="1"/>
    <col min="7" max="7" width="14.140625" bestFit="1" customWidth="1"/>
    <col min="8" max="8" width="7.7109375" bestFit="1" customWidth="1"/>
    <col min="9" max="9" width="21.5703125" bestFit="1" customWidth="1"/>
    <col min="10" max="10" width="13" bestFit="1" customWidth="1"/>
    <col min="11" max="11" width="8" bestFit="1" customWidth="1"/>
    <col min="12" max="12" width="11.140625" bestFit="1" customWidth="1"/>
    <col min="13" max="15" width="4.85546875" customWidth="1"/>
    <col min="17" max="17" width="10.42578125" customWidth="1"/>
    <col min="18" max="20" width="4.28515625" customWidth="1"/>
    <col min="22" max="22" width="11.28515625" customWidth="1"/>
    <col min="23" max="25" width="4.42578125" customWidth="1"/>
    <col min="27" max="27" width="11.140625" customWidth="1"/>
    <col min="28" max="30" width="4.85546875" customWidth="1"/>
    <col min="32" max="32" width="10.5703125" customWidth="1"/>
    <col min="33" max="35" width="4.85546875" customWidth="1"/>
    <col min="38" max="38" width="39.5703125" customWidth="1"/>
    <col min="40" max="40" width="18.7109375" customWidth="1"/>
    <col min="41" max="41" width="10.85546875" customWidth="1"/>
  </cols>
  <sheetData>
    <row r="1" spans="1:41" s="20" customFormat="1">
      <c r="A1" s="116" t="s">
        <v>111</v>
      </c>
      <c r="B1" s="117" t="s">
        <v>1799</v>
      </c>
      <c r="C1" s="118" t="s">
        <v>1800</v>
      </c>
      <c r="D1" s="118" t="s">
        <v>1801</v>
      </c>
      <c r="E1" s="117" t="s">
        <v>117</v>
      </c>
      <c r="F1" s="117" t="s">
        <v>1802</v>
      </c>
      <c r="G1" s="118" t="s">
        <v>1803</v>
      </c>
      <c r="H1" s="118" t="s">
        <v>1804</v>
      </c>
      <c r="I1" s="118" t="s">
        <v>16</v>
      </c>
      <c r="J1" s="118" t="s">
        <v>122</v>
      </c>
      <c r="K1" s="118" t="s">
        <v>1774</v>
      </c>
      <c r="L1" s="119" t="s">
        <v>1805</v>
      </c>
      <c r="AL1" t="s">
        <v>1750</v>
      </c>
    </row>
    <row r="2" spans="1:41">
      <c r="A2" s="120" t="s">
        <v>116</v>
      </c>
      <c r="B2" s="54">
        <v>0</v>
      </c>
      <c r="C2" s="121" t="s">
        <v>116</v>
      </c>
      <c r="D2" s="54">
        <v>0</v>
      </c>
      <c r="E2" s="121" t="s">
        <v>116</v>
      </c>
      <c r="F2" s="54">
        <v>0</v>
      </c>
      <c r="G2" s="122" t="s">
        <v>186</v>
      </c>
      <c r="H2" s="54">
        <v>2</v>
      </c>
      <c r="I2" s="123">
        <v>0</v>
      </c>
      <c r="J2" s="123">
        <v>2</v>
      </c>
      <c r="K2" s="123"/>
      <c r="L2" s="124"/>
      <c r="AL2" s="88"/>
    </row>
    <row r="3" spans="1:41">
      <c r="A3" s="120" t="s">
        <v>1753</v>
      </c>
      <c r="B3" s="54">
        <v>0</v>
      </c>
      <c r="C3" s="121" t="s">
        <v>1753</v>
      </c>
      <c r="D3" s="54">
        <v>0</v>
      </c>
      <c r="E3" s="121" t="s">
        <v>1753</v>
      </c>
      <c r="F3" s="54">
        <v>0</v>
      </c>
      <c r="G3" s="95" t="s">
        <v>187</v>
      </c>
      <c r="H3" s="54">
        <v>0</v>
      </c>
      <c r="I3" s="95"/>
      <c r="J3" s="95"/>
      <c r="K3" s="95"/>
      <c r="L3" s="125"/>
      <c r="AL3" s="56"/>
      <c r="AM3" t="s">
        <v>1291</v>
      </c>
      <c r="AN3" t="s">
        <v>1304</v>
      </c>
      <c r="AO3" t="s">
        <v>1293</v>
      </c>
    </row>
    <row r="4" spans="1:41">
      <c r="A4" s="120" t="s">
        <v>109</v>
      </c>
      <c r="B4" s="54">
        <v>0</v>
      </c>
      <c r="C4" s="121" t="s">
        <v>109</v>
      </c>
      <c r="D4" s="54">
        <v>0</v>
      </c>
      <c r="E4" s="121" t="s">
        <v>109</v>
      </c>
      <c r="F4" s="54">
        <v>0</v>
      </c>
      <c r="G4" s="95"/>
      <c r="H4" s="95"/>
      <c r="I4" s="95"/>
      <c r="J4" s="95"/>
      <c r="K4" s="95"/>
      <c r="L4" s="125"/>
      <c r="AL4" s="56"/>
      <c r="AM4">
        <v>1</v>
      </c>
      <c r="AN4" t="s">
        <v>111</v>
      </c>
      <c r="AO4">
        <f>C22/3</f>
        <v>0</v>
      </c>
    </row>
    <row r="5" spans="1:41">
      <c r="A5" s="120" t="s">
        <v>1759</v>
      </c>
      <c r="B5" s="54">
        <v>0</v>
      </c>
      <c r="C5" s="121" t="s">
        <v>1759</v>
      </c>
      <c r="D5" s="54">
        <v>0</v>
      </c>
      <c r="E5" s="121" t="s">
        <v>1759</v>
      </c>
      <c r="F5" s="54">
        <v>0</v>
      </c>
      <c r="G5" s="95"/>
      <c r="H5" s="95"/>
      <c r="I5" s="95"/>
      <c r="J5" s="95"/>
      <c r="K5" s="95"/>
      <c r="L5" s="125"/>
      <c r="AL5" s="87"/>
      <c r="AM5">
        <v>2</v>
      </c>
      <c r="AN5" t="s">
        <v>162</v>
      </c>
      <c r="AO5">
        <f>H22/3</f>
        <v>0.66666666666666663</v>
      </c>
    </row>
    <row r="6" spans="1:41">
      <c r="A6" s="120" t="s">
        <v>130</v>
      </c>
      <c r="B6" s="54">
        <v>0</v>
      </c>
      <c r="C6" s="121" t="s">
        <v>130</v>
      </c>
      <c r="D6" s="54">
        <v>0</v>
      </c>
      <c r="E6" s="121" t="s">
        <v>130</v>
      </c>
      <c r="F6" s="54">
        <v>0</v>
      </c>
      <c r="G6" s="95"/>
      <c r="H6" s="95"/>
      <c r="I6" s="95"/>
      <c r="J6" s="95"/>
      <c r="K6" s="95"/>
      <c r="L6" s="125"/>
      <c r="AL6" s="87"/>
      <c r="AM6">
        <v>3</v>
      </c>
      <c r="AN6" t="s">
        <v>117</v>
      </c>
      <c r="AO6">
        <f>M22/3</f>
        <v>0</v>
      </c>
    </row>
    <row r="7" spans="1:41">
      <c r="A7" s="120" t="s">
        <v>443</v>
      </c>
      <c r="B7" s="54">
        <v>0</v>
      </c>
      <c r="C7" s="121" t="s">
        <v>443</v>
      </c>
      <c r="D7" s="54">
        <v>0</v>
      </c>
      <c r="E7" s="121" t="s">
        <v>443</v>
      </c>
      <c r="F7" s="54">
        <v>0</v>
      </c>
      <c r="G7" s="95"/>
      <c r="H7" s="95"/>
      <c r="I7" s="95"/>
      <c r="J7" s="95"/>
      <c r="K7" s="95"/>
      <c r="L7" s="125"/>
      <c r="AL7" s="87"/>
      <c r="AM7">
        <v>4</v>
      </c>
      <c r="AN7" t="s">
        <v>188</v>
      </c>
      <c r="AO7">
        <f>R22/2</f>
        <v>0</v>
      </c>
    </row>
    <row r="8" spans="1:41">
      <c r="A8" s="120" t="s">
        <v>110</v>
      </c>
      <c r="B8" s="54">
        <v>0</v>
      </c>
      <c r="C8" s="121" t="s">
        <v>110</v>
      </c>
      <c r="D8" s="54">
        <v>0</v>
      </c>
      <c r="E8" s="121" t="s">
        <v>110</v>
      </c>
      <c r="F8" s="54">
        <v>0</v>
      </c>
      <c r="G8" s="95"/>
      <c r="H8" s="95"/>
      <c r="I8" s="95"/>
      <c r="J8" s="95"/>
      <c r="K8" s="95"/>
      <c r="L8" s="125"/>
      <c r="AL8" s="56"/>
      <c r="AM8">
        <v>5</v>
      </c>
      <c r="AN8" t="s">
        <v>16</v>
      </c>
      <c r="AO8">
        <f>W22/2</f>
        <v>0</v>
      </c>
    </row>
    <row r="9" spans="1:41">
      <c r="A9" s="120" t="s">
        <v>108</v>
      </c>
      <c r="B9" s="54">
        <v>0</v>
      </c>
      <c r="C9" s="121" t="s">
        <v>108</v>
      </c>
      <c r="D9" s="54">
        <v>0</v>
      </c>
      <c r="E9" s="121" t="s">
        <v>108</v>
      </c>
      <c r="F9" s="54">
        <v>0</v>
      </c>
      <c r="G9" s="95"/>
      <c r="H9" s="95"/>
      <c r="I9" s="95"/>
      <c r="J9" s="95"/>
      <c r="K9" s="95"/>
      <c r="L9" s="125"/>
      <c r="AL9" s="56"/>
      <c r="AM9">
        <v>6</v>
      </c>
      <c r="AN9" t="s">
        <v>122</v>
      </c>
      <c r="AO9">
        <f>AB22</f>
        <v>0</v>
      </c>
    </row>
    <row r="10" spans="1:41">
      <c r="A10" s="120" t="s">
        <v>250</v>
      </c>
      <c r="B10" s="54">
        <v>0</v>
      </c>
      <c r="C10" s="121" t="s">
        <v>250</v>
      </c>
      <c r="D10" s="54">
        <v>0</v>
      </c>
      <c r="E10" s="121" t="s">
        <v>250</v>
      </c>
      <c r="F10" s="54">
        <v>0</v>
      </c>
      <c r="G10" s="95"/>
      <c r="H10" s="95"/>
      <c r="I10" s="95"/>
      <c r="J10" s="95"/>
      <c r="K10" s="95"/>
      <c r="L10" s="125"/>
      <c r="AL10" s="56"/>
      <c r="AM10">
        <v>7</v>
      </c>
      <c r="AN10" t="s">
        <v>12</v>
      </c>
      <c r="AO10">
        <f>AG22</f>
        <v>0</v>
      </c>
    </row>
    <row r="11" spans="1:41">
      <c r="A11" s="120" t="s">
        <v>135</v>
      </c>
      <c r="B11" s="54">
        <v>0</v>
      </c>
      <c r="C11" s="121" t="s">
        <v>135</v>
      </c>
      <c r="D11" s="54">
        <v>0</v>
      </c>
      <c r="E11" s="121" t="s">
        <v>135</v>
      </c>
      <c r="F11" s="54">
        <v>0</v>
      </c>
      <c r="G11" s="95"/>
      <c r="H11" s="95"/>
      <c r="I11" s="95"/>
      <c r="J11" s="95"/>
      <c r="K11" s="95"/>
      <c r="L11" s="125"/>
      <c r="AL11" s="56"/>
      <c r="AN11" s="99" t="s">
        <v>1774</v>
      </c>
      <c r="AO11">
        <f>SUM(AO4:AO10)</f>
        <v>0.66666666666666663</v>
      </c>
    </row>
    <row r="12" spans="1:41">
      <c r="A12" s="120" t="s">
        <v>150</v>
      </c>
      <c r="B12" s="54">
        <v>0</v>
      </c>
      <c r="C12" s="121" t="s">
        <v>150</v>
      </c>
      <c r="D12" s="54">
        <v>0</v>
      </c>
      <c r="E12" s="121" t="s">
        <v>150</v>
      </c>
      <c r="F12" s="54">
        <v>7</v>
      </c>
      <c r="G12" s="95"/>
      <c r="H12" s="95"/>
      <c r="I12" s="95"/>
      <c r="J12" s="95"/>
      <c r="K12" s="95"/>
      <c r="L12" s="125"/>
      <c r="AL12" s="56"/>
      <c r="AN12" s="99" t="s">
        <v>1777</v>
      </c>
      <c r="AO12">
        <f>SUM(AO4:AO9)</f>
        <v>0.66666666666666663</v>
      </c>
    </row>
    <row r="13" spans="1:41">
      <c r="A13" s="120" t="s">
        <v>846</v>
      </c>
      <c r="B13" s="54">
        <v>0</v>
      </c>
      <c r="C13" s="121" t="s">
        <v>846</v>
      </c>
      <c r="D13" s="54">
        <v>0</v>
      </c>
      <c r="E13" s="121" t="s">
        <v>846</v>
      </c>
      <c r="F13" s="54">
        <v>0</v>
      </c>
      <c r="G13" s="95"/>
      <c r="H13" s="95"/>
      <c r="I13" s="95"/>
      <c r="J13" s="95"/>
      <c r="K13" s="95"/>
      <c r="L13" s="125"/>
      <c r="AL13" s="98"/>
    </row>
    <row r="14" spans="1:41">
      <c r="A14" s="120" t="s">
        <v>251</v>
      </c>
      <c r="B14" s="54">
        <v>0</v>
      </c>
      <c r="C14" s="121" t="s">
        <v>251</v>
      </c>
      <c r="D14" s="54">
        <v>0</v>
      </c>
      <c r="E14" s="121" t="s">
        <v>251</v>
      </c>
      <c r="F14" s="54">
        <v>0</v>
      </c>
      <c r="G14" s="95"/>
      <c r="H14" s="95"/>
      <c r="I14" s="95"/>
      <c r="J14" s="95"/>
      <c r="K14" s="95"/>
      <c r="L14" s="125"/>
    </row>
    <row r="15" spans="1:41">
      <c r="A15" s="120" t="s">
        <v>136</v>
      </c>
      <c r="B15" s="54">
        <v>0</v>
      </c>
      <c r="C15" s="121" t="s">
        <v>136</v>
      </c>
      <c r="D15" s="54">
        <v>0</v>
      </c>
      <c r="E15" s="121" t="s">
        <v>136</v>
      </c>
      <c r="F15" s="54">
        <v>0</v>
      </c>
      <c r="G15" s="95"/>
      <c r="H15" s="95"/>
      <c r="I15" s="95"/>
      <c r="J15" s="95"/>
      <c r="K15" s="95"/>
      <c r="L15" s="125"/>
    </row>
    <row r="16" spans="1:41">
      <c r="A16" s="120" t="s">
        <v>198</v>
      </c>
      <c r="B16" s="54">
        <v>0</v>
      </c>
      <c r="C16" s="121" t="s">
        <v>198</v>
      </c>
      <c r="D16" s="54">
        <v>0</v>
      </c>
      <c r="E16" s="121" t="s">
        <v>198</v>
      </c>
      <c r="F16" s="54">
        <v>0</v>
      </c>
      <c r="G16" s="95"/>
      <c r="H16" s="95"/>
      <c r="I16" s="95"/>
      <c r="J16" s="95"/>
      <c r="K16" s="95"/>
      <c r="L16" s="125"/>
    </row>
    <row r="17" spans="1:37">
      <c r="A17" s="120" t="s">
        <v>200</v>
      </c>
      <c r="B17" s="54">
        <v>0</v>
      </c>
      <c r="C17" s="121" t="s">
        <v>200</v>
      </c>
      <c r="D17" s="54">
        <v>0</v>
      </c>
      <c r="E17" s="121" t="s">
        <v>200</v>
      </c>
      <c r="F17" s="54">
        <v>0</v>
      </c>
      <c r="G17" s="95"/>
      <c r="H17" s="95"/>
      <c r="I17" s="95"/>
      <c r="J17" s="95"/>
      <c r="K17" s="95"/>
      <c r="L17" s="125"/>
    </row>
    <row r="18" spans="1:37">
      <c r="A18" s="120" t="s">
        <v>1788</v>
      </c>
      <c r="B18" s="54">
        <v>0</v>
      </c>
      <c r="C18" s="121" t="s">
        <v>1788</v>
      </c>
      <c r="D18" s="54">
        <v>0</v>
      </c>
      <c r="E18" s="121" t="s">
        <v>1788</v>
      </c>
      <c r="F18" s="54">
        <v>0</v>
      </c>
      <c r="G18" s="95"/>
      <c r="H18" s="95"/>
      <c r="I18" s="95"/>
      <c r="J18" s="95"/>
      <c r="K18" s="95"/>
      <c r="L18" s="125"/>
    </row>
    <row r="19" spans="1:37">
      <c r="A19" s="120" t="s">
        <v>315</v>
      </c>
      <c r="B19" s="54">
        <v>0</v>
      </c>
      <c r="C19" s="121" t="s">
        <v>315</v>
      </c>
      <c r="D19" s="54">
        <v>0</v>
      </c>
      <c r="E19" s="121" t="s">
        <v>315</v>
      </c>
      <c r="F19" s="54">
        <v>0</v>
      </c>
      <c r="G19" s="95"/>
      <c r="H19" s="95"/>
      <c r="I19" s="95"/>
      <c r="J19" s="95"/>
      <c r="K19" s="95"/>
      <c r="L19" s="125"/>
    </row>
    <row r="20" spans="1:37">
      <c r="A20" s="120" t="s">
        <v>199</v>
      </c>
      <c r="B20" s="54">
        <v>0</v>
      </c>
      <c r="C20" s="121" t="s">
        <v>199</v>
      </c>
      <c r="D20" s="54">
        <v>0</v>
      </c>
      <c r="E20" s="121" t="s">
        <v>199</v>
      </c>
      <c r="F20" s="54">
        <v>0</v>
      </c>
      <c r="G20" s="95"/>
      <c r="H20" s="95"/>
      <c r="I20" s="95"/>
      <c r="J20" s="95"/>
      <c r="K20" s="95"/>
      <c r="L20" s="125"/>
    </row>
    <row r="21" spans="1:37">
      <c r="A21" s="120" t="s">
        <v>635</v>
      </c>
      <c r="B21" s="54">
        <v>0</v>
      </c>
      <c r="C21" s="121" t="s">
        <v>635</v>
      </c>
      <c r="D21" s="54">
        <v>0</v>
      </c>
      <c r="E21" s="121" t="s">
        <v>635</v>
      </c>
      <c r="F21" s="54">
        <v>0</v>
      </c>
      <c r="G21" s="95"/>
      <c r="H21" s="95"/>
      <c r="I21" s="95"/>
      <c r="J21" s="95"/>
      <c r="K21" s="95"/>
      <c r="L21" s="125"/>
    </row>
    <row r="22" spans="1:37" s="20" customFormat="1">
      <c r="A22" s="126"/>
      <c r="B22" s="127">
        <f>SUM(B2:B21)</f>
        <v>0</v>
      </c>
      <c r="C22" s="127"/>
      <c r="D22" s="127">
        <f>SUM(D2:D21)</f>
        <v>0</v>
      </c>
      <c r="E22" s="127"/>
      <c r="F22" s="127">
        <f>SUM(F2:F21)</f>
        <v>7</v>
      </c>
      <c r="G22" s="127"/>
      <c r="H22" s="127">
        <f>SUM(H2:H3)</f>
        <v>2</v>
      </c>
      <c r="I22" s="127">
        <f>I2</f>
        <v>0</v>
      </c>
      <c r="J22" s="127">
        <f>J2</f>
        <v>2</v>
      </c>
      <c r="K22" s="127">
        <f t="shared" ref="K2:K22" si="0">SUM(B22,D22,F22,H22,I22,J22)</f>
        <v>11</v>
      </c>
      <c r="L22" s="128"/>
      <c r="O22"/>
      <c r="T22"/>
    </row>
    <row r="24" spans="1:37">
      <c r="AJ24" s="113"/>
      <c r="AK24" s="11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DD9B-D657-42AB-B826-AFC199B85385}">
  <dimension ref="A1:J53"/>
  <sheetViews>
    <sheetView workbookViewId="0">
      <selection activeCell="A12" sqref="A12"/>
    </sheetView>
  </sheetViews>
  <sheetFormatPr defaultRowHeight="15"/>
  <cols>
    <col min="1" max="1" width="49.7109375" customWidth="1"/>
    <col min="2" max="2" width="15" bestFit="1" customWidth="1"/>
    <col min="3" max="3" width="30.7109375" bestFit="1" customWidth="1"/>
    <col min="4" max="4" width="10.28515625" bestFit="1" customWidth="1"/>
    <col min="5" max="5" width="11.140625" bestFit="1" customWidth="1"/>
    <col min="8" max="8" width="15" bestFit="1" customWidth="1"/>
    <col min="9" max="9" width="9.85546875" bestFit="1" customWidth="1"/>
    <col min="10" max="10" width="11" bestFit="1" customWidth="1"/>
  </cols>
  <sheetData>
    <row r="1" spans="1:10">
      <c r="A1" t="s">
        <v>1806</v>
      </c>
      <c r="B1" t="s">
        <v>15</v>
      </c>
      <c r="C1" t="s">
        <v>1807</v>
      </c>
      <c r="D1" t="s">
        <v>1808</v>
      </c>
      <c r="E1" t="s">
        <v>1809</v>
      </c>
    </row>
    <row r="2" spans="1:10" hidden="1">
      <c r="A2" t="s">
        <v>39</v>
      </c>
      <c r="B2" t="s">
        <v>21</v>
      </c>
      <c r="C2" t="s">
        <v>1810</v>
      </c>
      <c r="D2" cm="1">
        <f t="array" ref="D2">SUMPRODUCT(('ALL 498 CONSOLIDATED NEW'!$G$2:$G$503='school district panchayat devic'!$A2)*('ALL 498 CONSOLIDATED NEW'!$K$2:$M$503&lt;&gt;"")*('ALL 498 CONSOLIDATED NEW'!$N$2:$N$503&lt;&gt;"LOW PROFILE SWITCH"))</f>
        <v>23</v>
      </c>
      <c r="E2" cm="1">
        <f t="array" ref="E2">SUMPRODUCT(('ALL 498 CONSOLIDATED NEW'!$G$2:$G$503='school district panchayat devic'!$A2)*('ALL 498 CONSOLIDATED NEW'!$N$2:$N$503&lt;&gt;"LOW PROFILE SWITCH"))</f>
        <v>8</v>
      </c>
    </row>
    <row r="3" spans="1:10" hidden="1">
      <c r="A3" t="s">
        <v>50</v>
      </c>
      <c r="B3" t="s">
        <v>32</v>
      </c>
      <c r="C3" t="s">
        <v>1811</v>
      </c>
      <c r="D3" cm="1">
        <f t="array" ref="D3">SUMPRODUCT(('ALL 498 CONSOLIDATED NEW'!$G$2:$G$503='school district panchayat devic'!$A3)*('ALL 498 CONSOLIDATED NEW'!$K$2:$M$503&lt;&gt;"")*('ALL 498 CONSOLIDATED NEW'!$N$2:$N$503&lt;&gt;"LOW PROFILE SWITCH"))</f>
        <v>19</v>
      </c>
      <c r="E3" cm="1">
        <f t="array" ref="E3">SUMPRODUCT(('ALL 498 CONSOLIDATED NEW'!$G$2:$G$503='school district panchayat devic'!$A3)*('ALL 498 CONSOLIDATED NEW'!$N$2:$N$503&lt;&gt;"LOW PROFILE SWITCH"))</f>
        <v>8</v>
      </c>
      <c r="G3" t="s">
        <v>1812</v>
      </c>
      <c r="H3" t="s">
        <v>1813</v>
      </c>
      <c r="I3" t="s">
        <v>1814</v>
      </c>
      <c r="J3" t="s">
        <v>1809</v>
      </c>
    </row>
    <row r="4" spans="1:10" hidden="1">
      <c r="A4" t="s">
        <v>60</v>
      </c>
      <c r="B4" t="s">
        <v>32</v>
      </c>
      <c r="C4" t="s">
        <v>1815</v>
      </c>
      <c r="D4" cm="1">
        <f t="array" ref="D4">SUMPRODUCT(('ALL 498 CONSOLIDATED NEW'!$G$2:$G$503='school district panchayat devic'!$A4)*('ALL 498 CONSOLIDATED NEW'!$K$2:$M$503&lt;&gt;"")*('ALL 498 CONSOLIDATED NEW'!$N$2:$N$503&lt;&gt;"LOW PROFILE SWITCH"))</f>
        <v>56</v>
      </c>
      <c r="E4" cm="1">
        <f t="array" ref="E4">SUMPRODUCT(('ALL 498 CONSOLIDATED NEW'!$G$2:$G$503='school district panchayat devic'!$A4)*('ALL 498 CONSOLIDATED NEW'!$N$2:$N$503&lt;&gt;"LOW PROFILE SWITCH"))</f>
        <v>25</v>
      </c>
      <c r="G4">
        <v>1</v>
      </c>
      <c r="H4" t="s">
        <v>32</v>
      </c>
      <c r="I4">
        <f ca="1">SUMIF($B$2:$B$52,$I4,$D$2:$D$52)</f>
        <v>207</v>
      </c>
      <c r="J4">
        <f ca="1">SUMIF($B$2:$B$52,$I4,$E$2:$E$52)</f>
        <v>88</v>
      </c>
    </row>
    <row r="5" spans="1:10" hidden="1">
      <c r="A5" t="s">
        <v>66</v>
      </c>
      <c r="B5" t="s">
        <v>32</v>
      </c>
      <c r="C5" t="s">
        <v>1816</v>
      </c>
      <c r="D5" cm="1">
        <f t="array" ref="D5">SUMPRODUCT(('ALL 498 CONSOLIDATED NEW'!$G$2:$G$503='school district panchayat devic'!$A5)*('ALL 498 CONSOLIDATED NEW'!$K$2:$M$503&lt;&gt;"")*('ALL 498 CONSOLIDATED NEW'!$N$2:$N$503&lt;&gt;"LOW PROFILE SWITCH"))</f>
        <v>17</v>
      </c>
      <c r="E5" cm="1">
        <f t="array" ref="E5">SUMPRODUCT(('ALL 498 CONSOLIDATED NEW'!$G$2:$G$503='school district panchayat devic'!$A5)*('ALL 498 CONSOLIDATED NEW'!$N$2:$N$503&lt;&gt;"LOW PROFILE SWITCH"))</f>
        <v>7</v>
      </c>
      <c r="G5">
        <v>2</v>
      </c>
      <c r="H5" t="s">
        <v>25</v>
      </c>
      <c r="I5">
        <f t="shared" ref="I5:I17" ca="1" si="0">SUMIF($B$2:$B$52,$I5,$D$2:$D$52)</f>
        <v>303</v>
      </c>
      <c r="J5">
        <f t="shared" ref="J5:J17" ca="1" si="1">SUMIF($B$2:$B$52,$I5,$E$2:$E$52)</f>
        <v>117</v>
      </c>
    </row>
    <row r="6" spans="1:10" hidden="1">
      <c r="A6" t="s">
        <v>71</v>
      </c>
      <c r="B6" t="s">
        <v>32</v>
      </c>
      <c r="C6" t="s">
        <v>1817</v>
      </c>
      <c r="D6" cm="1">
        <f t="array" ref="D6">SUMPRODUCT(('ALL 498 CONSOLIDATED NEW'!$G$2:$G$503='school district panchayat devic'!$A6)*('ALL 498 CONSOLIDATED NEW'!$K$2:$M$503&lt;&gt;"")*('ALL 498 CONSOLIDATED NEW'!$N$2:$N$503&lt;&gt;"LOW PROFILE SWITCH"))</f>
        <v>22</v>
      </c>
      <c r="E6" cm="1">
        <f t="array" ref="E6">SUMPRODUCT(('ALL 498 CONSOLIDATED NEW'!$G$2:$G$503='school district panchayat devic'!$A6)*('ALL 498 CONSOLIDATED NEW'!$N$2:$N$503&lt;&gt;"LOW PROFILE SWITCH"))</f>
        <v>8</v>
      </c>
      <c r="G6">
        <v>3</v>
      </c>
      <c r="H6" t="s">
        <v>1295</v>
      </c>
      <c r="I6">
        <f t="shared" ca="1" si="0"/>
        <v>63</v>
      </c>
      <c r="J6">
        <f t="shared" ca="1" si="1"/>
        <v>28</v>
      </c>
    </row>
    <row r="7" spans="1:10" hidden="1">
      <c r="A7" t="s">
        <v>962</v>
      </c>
      <c r="B7" t="s">
        <v>32</v>
      </c>
      <c r="C7" t="s">
        <v>1818</v>
      </c>
      <c r="D7" cm="1">
        <f t="array" ref="D7">SUMPRODUCT(('ALL 498 CONSOLIDATED NEW'!$G$2:$G$503='school district panchayat devic'!$A7)*('ALL 498 CONSOLIDATED NEW'!$K$2:$M$503&lt;&gt;"")*('ALL 498 CONSOLIDATED NEW'!$N$2:$N$503&lt;&gt;"LOW PROFILE SWITCH"))</f>
        <v>17</v>
      </c>
      <c r="E7" cm="1">
        <f t="array" ref="E7">SUMPRODUCT(('ALL 498 CONSOLIDATED NEW'!$G$2:$G$503='school district panchayat devic'!$A7)*('ALL 498 CONSOLIDATED NEW'!$N$2:$N$503&lt;&gt;"LOW PROFILE SWITCH"))</f>
        <v>6</v>
      </c>
      <c r="G7">
        <v>4</v>
      </c>
      <c r="H7" t="s">
        <v>20</v>
      </c>
      <c r="I7">
        <f t="shared" ca="1" si="0"/>
        <v>156</v>
      </c>
      <c r="J7">
        <f t="shared" ca="1" si="1"/>
        <v>54</v>
      </c>
    </row>
    <row r="8" spans="1:10" hidden="1">
      <c r="A8" t="s">
        <v>77</v>
      </c>
      <c r="B8" t="s">
        <v>32</v>
      </c>
      <c r="C8" t="s">
        <v>1819</v>
      </c>
      <c r="D8" cm="1">
        <f t="array" ref="D8">SUMPRODUCT(('ALL 498 CONSOLIDATED NEW'!$G$2:$G$503='school district panchayat devic'!$A8)*('ALL 498 CONSOLIDATED NEW'!$K$2:$M$503&lt;&gt;"")*('ALL 498 CONSOLIDATED NEW'!$N$2:$N$503&lt;&gt;"LOW PROFILE SWITCH"))</f>
        <v>23</v>
      </c>
      <c r="E8" cm="1">
        <f t="array" ref="E8">SUMPRODUCT(('ALL 498 CONSOLIDATED NEW'!$G$2:$G$503='school district panchayat devic'!$A8)*('ALL 498 CONSOLIDATED NEW'!$N$2:$N$503&lt;&gt;"LOW PROFILE SWITCH"))</f>
        <v>10</v>
      </c>
      <c r="G8">
        <v>5</v>
      </c>
      <c r="H8" t="s">
        <v>1296</v>
      </c>
      <c r="I8">
        <f t="shared" ca="1" si="0"/>
        <v>17</v>
      </c>
      <c r="J8">
        <f t="shared" ca="1" si="1"/>
        <v>6</v>
      </c>
    </row>
    <row r="9" spans="1:10" hidden="1">
      <c r="A9" t="s">
        <v>83</v>
      </c>
      <c r="B9" t="s">
        <v>32</v>
      </c>
      <c r="C9" t="s">
        <v>1820</v>
      </c>
      <c r="D9" cm="1">
        <f t="array" ref="D9">SUMPRODUCT(('ALL 498 CONSOLIDATED NEW'!$G$2:$G$503='school district panchayat devic'!$A9)*('ALL 498 CONSOLIDATED NEW'!$K$2:$M$503&lt;&gt;"")*('ALL 498 CONSOLIDATED NEW'!$N$2:$N$503&lt;&gt;"LOW PROFILE SWITCH"))</f>
        <v>19</v>
      </c>
      <c r="E9" cm="1">
        <f t="array" ref="E9">SUMPRODUCT(('ALL 498 CONSOLIDATED NEW'!$G$2:$G$503='school district panchayat devic'!$A9)*('ALL 498 CONSOLIDATED NEW'!$N$2:$N$503&lt;&gt;"LOW PROFILE SWITCH"))</f>
        <v>7</v>
      </c>
      <c r="G9">
        <v>6</v>
      </c>
      <c r="H9" t="s">
        <v>22</v>
      </c>
      <c r="I9">
        <f t="shared" ca="1" si="0"/>
        <v>45</v>
      </c>
      <c r="J9">
        <f t="shared" ca="1" si="1"/>
        <v>15</v>
      </c>
    </row>
    <row r="10" spans="1:10" hidden="1">
      <c r="A10" t="s">
        <v>87</v>
      </c>
      <c r="B10" t="s">
        <v>32</v>
      </c>
      <c r="C10" t="s">
        <v>1821</v>
      </c>
      <c r="D10" cm="1">
        <f t="array" ref="D10">SUMPRODUCT(('ALL 498 CONSOLIDATED NEW'!$G$2:$G$503='school district panchayat devic'!$A10)*('ALL 498 CONSOLIDATED NEW'!$K$2:$M$503&lt;&gt;"")*('ALL 498 CONSOLIDATED NEW'!$N$2:$N$503&lt;&gt;"LOW PROFILE SWITCH"))</f>
        <v>34</v>
      </c>
      <c r="E10" cm="1">
        <f t="array" ref="E10">SUMPRODUCT(('ALL 498 CONSOLIDATED NEW'!$G$2:$G$503='school district panchayat devic'!$A10)*('ALL 498 CONSOLIDATED NEW'!$N$2:$N$503&lt;&gt;"LOW PROFILE SWITCH"))</f>
        <v>17</v>
      </c>
      <c r="G10">
        <v>7</v>
      </c>
      <c r="H10" t="s">
        <v>21</v>
      </c>
      <c r="I10">
        <f t="shared" ca="1" si="0"/>
        <v>93</v>
      </c>
      <c r="J10">
        <f t="shared" ca="1" si="1"/>
        <v>34</v>
      </c>
    </row>
    <row r="11" spans="1:10">
      <c r="A11" t="s">
        <v>67</v>
      </c>
      <c r="B11" t="s">
        <v>25</v>
      </c>
      <c r="C11" t="s">
        <v>1822</v>
      </c>
      <c r="D11" cm="1">
        <f t="array" ref="D11">SUMPRODUCT(('ALL 498 CONSOLIDATED NEW'!$G$2:$G$503='school district panchayat devic'!$A11)*('ALL 498 CONSOLIDATED NEW'!$K$2:$M$503&lt;&gt;"")*('ALL 498 CONSOLIDATED NEW'!$N$2:$N$503&lt;&gt;"LOW PROFILE SWITCH"))</f>
        <v>53</v>
      </c>
      <c r="E11" cm="1">
        <f t="array" ref="E11">SUMPRODUCT(('ALL 498 CONSOLIDATED NEW'!$G$2:$G$503='school district panchayat devic'!$A11)*('ALL 498 CONSOLIDATED NEW'!$N$2:$N$503&lt;&gt;"LOW PROFILE SWITCH"))</f>
        <v>25</v>
      </c>
      <c r="G11">
        <v>8</v>
      </c>
      <c r="H11" t="s">
        <v>1297</v>
      </c>
      <c r="I11">
        <f t="shared" ca="1" si="0"/>
        <v>66</v>
      </c>
      <c r="J11">
        <f t="shared" ca="1" si="1"/>
        <v>22</v>
      </c>
    </row>
    <row r="12" spans="1:10">
      <c r="A12" t="s">
        <v>68</v>
      </c>
      <c r="B12" t="s">
        <v>25</v>
      </c>
      <c r="C12" t="s">
        <v>1823</v>
      </c>
      <c r="D12" cm="1">
        <f t="array" ref="D12">SUMPRODUCT(('ALL 498 CONSOLIDATED NEW'!$G$2:$G$503='school district panchayat devic'!$A12)*('ALL 498 CONSOLIDATED NEW'!$K$2:$M$503&lt;&gt;"")*('ALL 498 CONSOLIDATED NEW'!$N$2:$N$503&lt;&gt;"LOW PROFILE SWITCH"))</f>
        <v>21</v>
      </c>
      <c r="E12" cm="1">
        <f t="array" ref="E12">SUMPRODUCT(('ALL 498 CONSOLIDATED NEW'!$G$2:$G$503='school district panchayat devic'!$A12)*('ALL 498 CONSOLIDATED NEW'!$N$2:$N$503&lt;&gt;"LOW PROFILE SWITCH"))</f>
        <v>8</v>
      </c>
      <c r="G12">
        <v>9</v>
      </c>
      <c r="H12" t="s">
        <v>29</v>
      </c>
      <c r="I12">
        <f t="shared" ca="1" si="0"/>
        <v>39</v>
      </c>
      <c r="J12">
        <f t="shared" ca="1" si="1"/>
        <v>14</v>
      </c>
    </row>
    <row r="13" spans="1:10">
      <c r="A13" t="s">
        <v>61</v>
      </c>
      <c r="B13" t="s">
        <v>25</v>
      </c>
      <c r="C13" t="s">
        <v>1824</v>
      </c>
      <c r="D13" cm="1">
        <f t="array" ref="D13">SUMPRODUCT(('ALL 498 CONSOLIDATED NEW'!$G$2:$G$503='school district panchayat devic'!$A13)*('ALL 498 CONSOLIDATED NEW'!$K$2:$M$503&lt;&gt;"")*('ALL 498 CONSOLIDATED NEW'!$N$2:$N$503&lt;&gt;"LOW PROFILE SWITCH"))</f>
        <v>20</v>
      </c>
      <c r="E13" cm="1">
        <f t="array" ref="E13">SUMPRODUCT(('ALL 498 CONSOLIDATED NEW'!$G$2:$G$503='school district panchayat devic'!$A13)*('ALL 498 CONSOLIDATED NEW'!$N$2:$N$503&lt;&gt;"LOW PROFILE SWITCH"))</f>
        <v>7</v>
      </c>
      <c r="G13">
        <v>10</v>
      </c>
      <c r="H13" t="s">
        <v>1298</v>
      </c>
      <c r="I13">
        <f t="shared" ca="1" si="0"/>
        <v>145</v>
      </c>
      <c r="J13">
        <f t="shared" ca="1" si="1"/>
        <v>52</v>
      </c>
    </row>
    <row r="14" spans="1:10">
      <c r="A14" t="s">
        <v>64</v>
      </c>
      <c r="B14" t="s">
        <v>25</v>
      </c>
      <c r="C14" t="s">
        <v>1825</v>
      </c>
      <c r="D14" cm="1">
        <f t="array" ref="D14">SUMPRODUCT(('ALL 498 CONSOLIDATED NEW'!$G$2:$G$503='school district panchayat devic'!$A14)*('ALL 498 CONSOLIDATED NEW'!$K$2:$M$503&lt;&gt;"")*('ALL 498 CONSOLIDATED NEW'!$N$2:$N$503&lt;&gt;"LOW PROFILE SWITCH"))</f>
        <v>55</v>
      </c>
      <c r="E14" cm="1">
        <f t="array" ref="E14">SUMPRODUCT(('ALL 498 CONSOLIDATED NEW'!$G$2:$G$503='school district panchayat devic'!$A14)*('ALL 498 CONSOLIDATED NEW'!$N$2:$N$503&lt;&gt;"LOW PROFILE SWITCH"))</f>
        <v>20</v>
      </c>
      <c r="G14">
        <v>11</v>
      </c>
      <c r="H14" t="s">
        <v>27</v>
      </c>
      <c r="I14">
        <f t="shared" ca="1" si="0"/>
        <v>28</v>
      </c>
      <c r="J14">
        <f t="shared" ca="1" si="1"/>
        <v>10</v>
      </c>
    </row>
    <row r="15" spans="1:10">
      <c r="A15" t="s">
        <v>79</v>
      </c>
      <c r="B15" t="s">
        <v>25</v>
      </c>
      <c r="C15" t="s">
        <v>1826</v>
      </c>
      <c r="D15" cm="1">
        <f t="array" ref="D15">SUMPRODUCT(('ALL 498 CONSOLIDATED NEW'!$G$2:$G$503='school district panchayat devic'!$A15)*('ALL 498 CONSOLIDATED NEW'!$K$2:$M$503&lt;&gt;"")*('ALL 498 CONSOLIDATED NEW'!$N$2:$N$503&lt;&gt;"LOW PROFILE SWITCH"))</f>
        <v>33</v>
      </c>
      <c r="E15" cm="1">
        <f t="array" ref="E15">SUMPRODUCT(('ALL 498 CONSOLIDATED NEW'!$G$2:$G$503='school district panchayat devic'!$A15)*('ALL 498 CONSOLIDATED NEW'!$N$2:$N$503&lt;&gt;"LOW PROFILE SWITCH"))</f>
        <v>12</v>
      </c>
      <c r="G15">
        <v>12</v>
      </c>
      <c r="H15" t="s">
        <v>1299</v>
      </c>
      <c r="I15">
        <f t="shared" ca="1" si="0"/>
        <v>30</v>
      </c>
      <c r="J15">
        <f t="shared" ca="1" si="1"/>
        <v>10</v>
      </c>
    </row>
    <row r="16" spans="1:10">
      <c r="A16" t="s">
        <v>43</v>
      </c>
      <c r="B16" t="s">
        <v>25</v>
      </c>
      <c r="C16" t="s">
        <v>25</v>
      </c>
      <c r="D16" cm="1">
        <f t="array" ref="D16">SUMPRODUCT(('ALL 498 CONSOLIDATED NEW'!$G$2:$G$503='school district panchayat devic'!$A16)*('ALL 498 CONSOLIDATED NEW'!$K$2:$M$503&lt;&gt;"")*('ALL 498 CONSOLIDATED NEW'!$N$2:$N$503&lt;&gt;"LOW PROFILE SWITCH"))</f>
        <v>48</v>
      </c>
      <c r="E16" cm="1">
        <f t="array" ref="E16">SUMPRODUCT(('ALL 498 CONSOLIDATED NEW'!$G$2:$G$503='school district panchayat devic'!$A16)*('ALL 498 CONSOLIDATED NEW'!$N$2:$N$503&lt;&gt;"LOW PROFILE SWITCH"))</f>
        <v>17</v>
      </c>
      <c r="G16">
        <v>13</v>
      </c>
      <c r="H16" t="s">
        <v>1300</v>
      </c>
      <c r="I16">
        <f t="shared" ca="1" si="0"/>
        <v>33</v>
      </c>
      <c r="J16">
        <f t="shared" ca="1" si="1"/>
        <v>11</v>
      </c>
    </row>
    <row r="17" spans="1:10">
      <c r="A17" t="s">
        <v>52</v>
      </c>
      <c r="B17" t="s">
        <v>25</v>
      </c>
      <c r="C17" t="s">
        <v>1827</v>
      </c>
      <c r="D17" cm="1">
        <f t="array" ref="D17">SUMPRODUCT(('ALL 498 CONSOLIDATED NEW'!$G$2:$G$503='school district panchayat devic'!$A17)*('ALL 498 CONSOLIDATED NEW'!$K$2:$M$503&lt;&gt;"")*('ALL 498 CONSOLIDATED NEW'!$N$2:$N$503&lt;&gt;"LOW PROFILE SWITCH"))</f>
        <v>15</v>
      </c>
      <c r="E17" cm="1">
        <f t="array" ref="E17">SUMPRODUCT(('ALL 498 CONSOLIDATED NEW'!$G$2:$G$503='school district panchayat devic'!$A17)*('ALL 498 CONSOLIDATED NEW'!$N$2:$N$503&lt;&gt;"LOW PROFILE SWITCH"))</f>
        <v>5</v>
      </c>
      <c r="G17">
        <v>14</v>
      </c>
      <c r="H17" t="s">
        <v>24</v>
      </c>
      <c r="I17">
        <f t="shared" ca="1" si="0"/>
        <v>36</v>
      </c>
      <c r="J17">
        <f t="shared" ca="1" si="1"/>
        <v>12</v>
      </c>
    </row>
    <row r="18" spans="1:10">
      <c r="A18" t="s">
        <v>65</v>
      </c>
      <c r="B18" t="s">
        <v>25</v>
      </c>
      <c r="C18" t="s">
        <v>1828</v>
      </c>
      <c r="D18" cm="1">
        <f t="array" ref="D18">SUMPRODUCT(('ALL 498 CONSOLIDATED NEW'!$G$2:$G$503='school district panchayat devic'!$A18)*('ALL 498 CONSOLIDATED NEW'!$K$2:$M$503&lt;&gt;"")*('ALL 498 CONSOLIDATED NEW'!$N$2:$N$503&lt;&gt;"LOW PROFILE SWITCH"))</f>
        <v>17</v>
      </c>
      <c r="E18" cm="1">
        <f t="array" ref="E18">SUMPRODUCT(('ALL 498 CONSOLIDATED NEW'!$G$2:$G$503='school district panchayat devic'!$A18)*('ALL 498 CONSOLIDATED NEW'!$N$2:$N$503&lt;&gt;"LOW PROFILE SWITCH"))</f>
        <v>7</v>
      </c>
      <c r="I18">
        <f ca="1">SUM(I4:I17)</f>
        <v>1261</v>
      </c>
      <c r="J18">
        <f ca="1">SUM(J4:J17)</f>
        <v>473</v>
      </c>
    </row>
    <row r="19" spans="1:10">
      <c r="A19" t="s">
        <v>80</v>
      </c>
      <c r="B19" t="s">
        <v>25</v>
      </c>
      <c r="C19" t="s">
        <v>1829</v>
      </c>
      <c r="D19" cm="1">
        <f t="array" ref="D19">SUMPRODUCT(('ALL 498 CONSOLIDATED NEW'!$G$2:$G$503='school district panchayat devic'!$A19)*('ALL 498 CONSOLIDATED NEW'!$K$2:$M$503&lt;&gt;"")*('ALL 498 CONSOLIDATED NEW'!$N$2:$N$503&lt;&gt;"LOW PROFILE SWITCH"))</f>
        <v>13</v>
      </c>
      <c r="E19" cm="1">
        <f t="array" ref="E19">SUMPRODUCT(('ALL 498 CONSOLIDATED NEW'!$G$2:$G$503='school district panchayat devic'!$A19)*('ALL 498 CONSOLIDATED NEW'!$N$2:$N$503&lt;&gt;"LOW PROFILE SWITCH"))</f>
        <v>5</v>
      </c>
    </row>
    <row r="20" spans="1:10">
      <c r="A20" t="s">
        <v>85</v>
      </c>
      <c r="B20" t="s">
        <v>25</v>
      </c>
      <c r="C20" t="s">
        <v>1830</v>
      </c>
      <c r="D20" cm="1">
        <f t="array" ref="D20">SUMPRODUCT(('ALL 498 CONSOLIDATED NEW'!$G$2:$G$503='school district panchayat devic'!$A20)*('ALL 498 CONSOLIDATED NEW'!$K$2:$M$503&lt;&gt;"")*('ALL 498 CONSOLIDATED NEW'!$N$2:$N$503&lt;&gt;"LOW PROFILE SWITCH"))</f>
        <v>28</v>
      </c>
      <c r="E20" cm="1">
        <f t="array" ref="E20">SUMPRODUCT(('ALL 498 CONSOLIDATED NEW'!$G$2:$G$503='school district panchayat devic'!$A20)*('ALL 498 CONSOLIDATED NEW'!$N$2:$N$503&lt;&gt;"LOW PROFILE SWITCH"))</f>
        <v>11</v>
      </c>
    </row>
    <row r="21" spans="1:10" hidden="1">
      <c r="A21" t="s">
        <v>55</v>
      </c>
      <c r="B21" t="s">
        <v>1295</v>
      </c>
      <c r="C21" t="s">
        <v>1831</v>
      </c>
      <c r="D21" cm="1">
        <f t="array" ref="D21">SUMPRODUCT(('ALL 498 CONSOLIDATED NEW'!$G$2:$G$503='school district panchayat devic'!$A21)*('ALL 498 CONSOLIDATED NEW'!$K$2:$M$503&lt;&gt;"")*('ALL 498 CONSOLIDATED NEW'!$N$2:$N$503&lt;&gt;"LOW PROFILE SWITCH"))</f>
        <v>48</v>
      </c>
      <c r="E21" cm="1">
        <f t="array" ref="E21">SUMPRODUCT(('ALL 498 CONSOLIDATED NEW'!$G$2:$G$503='school district panchayat devic'!$A21)*('ALL 498 CONSOLIDATED NEW'!$N$2:$N$503&lt;&gt;"LOW PROFILE SWITCH"))</f>
        <v>23</v>
      </c>
    </row>
    <row r="22" spans="1:10" hidden="1">
      <c r="A22" t="s">
        <v>56</v>
      </c>
      <c r="B22" t="s">
        <v>1295</v>
      </c>
      <c r="C22" t="s">
        <v>1832</v>
      </c>
      <c r="D22" cm="1">
        <f t="array" ref="D22">SUMPRODUCT(('ALL 498 CONSOLIDATED NEW'!$G$2:$G$503='school district panchayat devic'!$A22)*('ALL 498 CONSOLIDATED NEW'!$K$2:$M$503&lt;&gt;"")*('ALL 498 CONSOLIDATED NEW'!$N$2:$N$503&lt;&gt;"LOW PROFILE SWITCH"))</f>
        <v>12</v>
      </c>
      <c r="E22" cm="1">
        <f t="array" ref="E22">SUMPRODUCT(('ALL 498 CONSOLIDATED NEW'!$G$2:$G$503='school district panchayat devic'!$A22)*('ALL 498 CONSOLIDATED NEW'!$N$2:$N$503&lt;&gt;"LOW PROFILE SWITCH"))</f>
        <v>4</v>
      </c>
    </row>
    <row r="23" spans="1:10" hidden="1">
      <c r="A23" t="s">
        <v>82</v>
      </c>
      <c r="B23" t="s">
        <v>20</v>
      </c>
      <c r="C23" t="s">
        <v>1833</v>
      </c>
      <c r="D23" cm="1">
        <f t="array" ref="D23">SUMPRODUCT(('ALL 498 CONSOLIDATED NEW'!$G$2:$G$503='school district panchayat devic'!$A23)*('ALL 498 CONSOLIDATED NEW'!$K$2:$M$503&lt;&gt;"")*('ALL 498 CONSOLIDATED NEW'!$N$2:$N$503&lt;&gt;"LOW PROFILE SWITCH"))</f>
        <v>69</v>
      </c>
      <c r="E23" cm="1">
        <f t="array" ref="E23">SUMPRODUCT(('ALL 498 CONSOLIDATED NEW'!$G$2:$G$503='school district panchayat devic'!$A23)*('ALL 498 CONSOLIDATED NEW'!$N$2:$N$503&lt;&gt;"LOW PROFILE SWITCH"))</f>
        <v>23</v>
      </c>
    </row>
    <row r="24" spans="1:10" hidden="1">
      <c r="A24" t="s">
        <v>195</v>
      </c>
      <c r="B24" t="s">
        <v>20</v>
      </c>
      <c r="C24" t="s">
        <v>1834</v>
      </c>
      <c r="D24" cm="1">
        <f t="array" ref="D24">SUMPRODUCT(('ALL 498 CONSOLIDATED NEW'!$G$2:$G$503='school district panchayat devic'!$A24)*('ALL 498 CONSOLIDATED NEW'!$K$2:$M$503&lt;&gt;"")*('ALL 498 CONSOLIDATED NEW'!$N$2:$N$503&lt;&gt;"LOW PROFILE SWITCH"))</f>
        <v>27</v>
      </c>
      <c r="E24" cm="1">
        <f t="array" ref="E24">SUMPRODUCT(('ALL 498 CONSOLIDATED NEW'!$G$2:$G$503='school district panchayat devic'!$A24)*('ALL 498 CONSOLIDATED NEW'!$N$2:$N$503&lt;&gt;"LOW PROFILE SWITCH"))</f>
        <v>9</v>
      </c>
    </row>
    <row r="25" spans="1:10" hidden="1">
      <c r="A25" t="s">
        <v>72</v>
      </c>
      <c r="B25" t="s">
        <v>20</v>
      </c>
      <c r="C25" t="s">
        <v>1835</v>
      </c>
      <c r="D25" cm="1">
        <f t="array" ref="D25">SUMPRODUCT(('ALL 498 CONSOLIDATED NEW'!$G$2:$G$503='school district panchayat devic'!$A25)*('ALL 498 CONSOLIDATED NEW'!$K$2:$M$503&lt;&gt;"")*('ALL 498 CONSOLIDATED NEW'!$N$2:$N$503&lt;&gt;"LOW PROFILE SWITCH"))</f>
        <v>17</v>
      </c>
      <c r="E25" cm="1">
        <f t="array" ref="E25">SUMPRODUCT(('ALL 498 CONSOLIDATED NEW'!$G$2:$G$503='school district panchayat devic'!$A25)*('ALL 498 CONSOLIDATED NEW'!$N$2:$N$503&lt;&gt;"LOW PROFILE SWITCH"))</f>
        <v>6</v>
      </c>
    </row>
    <row r="26" spans="1:10" hidden="1">
      <c r="A26" t="s">
        <v>84</v>
      </c>
      <c r="B26" t="s">
        <v>20</v>
      </c>
      <c r="C26" t="s">
        <v>1836</v>
      </c>
      <c r="D26" cm="1">
        <f t="array" ref="D26">SUMPRODUCT(('ALL 498 CONSOLIDATED NEW'!$G$2:$G$503='school district panchayat devic'!$A26)*('ALL 498 CONSOLIDATED NEW'!$K$2:$M$503&lt;&gt;"")*('ALL 498 CONSOLIDATED NEW'!$N$2:$N$503&lt;&gt;"LOW PROFILE SWITCH"))</f>
        <v>18</v>
      </c>
      <c r="E26" cm="1">
        <f t="array" ref="E26">SUMPRODUCT(('ALL 498 CONSOLIDATED NEW'!$G$2:$G$503='school district panchayat devic'!$A26)*('ALL 498 CONSOLIDATED NEW'!$N$2:$N$503&lt;&gt;"LOW PROFILE SWITCH"))</f>
        <v>6</v>
      </c>
    </row>
    <row r="27" spans="1:10" hidden="1">
      <c r="A27" t="s">
        <v>88</v>
      </c>
      <c r="B27" t="s">
        <v>20</v>
      </c>
      <c r="C27" t="s">
        <v>1837</v>
      </c>
      <c r="D27" cm="1">
        <f t="array" ref="D27">SUMPRODUCT(('ALL 498 CONSOLIDATED NEW'!$G$2:$G$503='school district panchayat devic'!$A27)*('ALL 498 CONSOLIDATED NEW'!$K$2:$M$503&lt;&gt;"")*('ALL 498 CONSOLIDATED NEW'!$N$2:$N$503&lt;&gt;"LOW PROFILE SWITCH"))</f>
        <v>21</v>
      </c>
      <c r="E27" cm="1">
        <f t="array" ref="E27">SUMPRODUCT(('ALL 498 CONSOLIDATED NEW'!$G$2:$G$503='school district panchayat devic'!$A27)*('ALL 498 CONSOLIDATED NEW'!$N$2:$N$503&lt;&gt;"LOW PROFILE SWITCH"))</f>
        <v>8</v>
      </c>
    </row>
    <row r="28" spans="1:10" hidden="1">
      <c r="A28" t="s">
        <v>73</v>
      </c>
      <c r="B28" t="s">
        <v>20</v>
      </c>
      <c r="C28" t="s">
        <v>1838</v>
      </c>
      <c r="D28" cm="1">
        <f t="array" ref="D28">SUMPRODUCT(('ALL 498 CONSOLIDATED NEW'!$G$2:$G$503='school district panchayat devic'!$A28)*('ALL 498 CONSOLIDATED NEW'!$K$2:$M$503&lt;&gt;"")*('ALL 498 CONSOLIDATED NEW'!$N$2:$N$503&lt;&gt;"LOW PROFILE SWITCH"))</f>
        <v>4</v>
      </c>
      <c r="E28" cm="1">
        <f t="array" ref="E28">SUMPRODUCT(('ALL 498 CONSOLIDATED NEW'!$G$2:$G$503='school district panchayat devic'!$A28)*('ALL 498 CONSOLIDATED NEW'!$N$2:$N$503&lt;&gt;"LOW PROFILE SWITCH"))</f>
        <v>2</v>
      </c>
    </row>
    <row r="29" spans="1:10" hidden="1">
      <c r="A29" t="s">
        <v>89</v>
      </c>
      <c r="B29" t="s">
        <v>1296</v>
      </c>
      <c r="C29" t="s">
        <v>1839</v>
      </c>
      <c r="D29" cm="1">
        <f t="array" ref="D29">SUMPRODUCT(('ALL 498 CONSOLIDATED NEW'!$G$2:$G$503='school district panchayat devic'!$A29)*('ALL 498 CONSOLIDATED NEW'!$K$2:$M$503&lt;&gt;"")*('ALL 498 CONSOLIDATED NEW'!$N$2:$N$503&lt;&gt;"LOW PROFILE SWITCH"))</f>
        <v>17</v>
      </c>
      <c r="E29" cm="1">
        <f t="array" ref="E29">SUMPRODUCT(('ALL 498 CONSOLIDATED NEW'!$G$2:$G$503='school district panchayat devic'!$A29)*('ALL 498 CONSOLIDATED NEW'!$N$2:$N$503&lt;&gt;"LOW PROFILE SWITCH"))</f>
        <v>6</v>
      </c>
    </row>
    <row r="30" spans="1:10" hidden="1">
      <c r="A30" t="s">
        <v>948</v>
      </c>
      <c r="B30" t="s">
        <v>22</v>
      </c>
      <c r="C30" t="s">
        <v>22</v>
      </c>
      <c r="D30" cm="1">
        <f t="array" ref="D30">SUMPRODUCT(('ALL 498 CONSOLIDATED NEW'!$G$2:$G$503='school district panchayat devic'!$A30)*('ALL 498 CONSOLIDATED NEW'!$K$2:$M$503&lt;&gt;"")*('ALL 498 CONSOLIDATED NEW'!$N$2:$N$503&lt;&gt;"LOW PROFILE SWITCH"))</f>
        <v>24</v>
      </c>
      <c r="E30" cm="1">
        <f t="array" ref="E30">SUMPRODUCT(('ALL 498 CONSOLIDATED NEW'!$G$2:$G$503='school district panchayat devic'!$A30)*('ALL 498 CONSOLIDATED NEW'!$N$2:$N$503&lt;&gt;"LOW PROFILE SWITCH"))</f>
        <v>8</v>
      </c>
    </row>
    <row r="31" spans="1:10" hidden="1">
      <c r="A31" t="s">
        <v>69</v>
      </c>
      <c r="B31" t="s">
        <v>22</v>
      </c>
      <c r="C31" t="s">
        <v>1840</v>
      </c>
      <c r="D31" cm="1">
        <f t="array" ref="D31">SUMPRODUCT(('ALL 498 CONSOLIDATED NEW'!$G$2:$G$503='school district panchayat devic'!$A31)*('ALL 498 CONSOLIDATED NEW'!$K$2:$M$503&lt;&gt;"")*('ALL 498 CONSOLIDATED NEW'!$N$2:$N$503&lt;&gt;"LOW PROFILE SWITCH"))</f>
        <v>21</v>
      </c>
      <c r="E31" cm="1">
        <f t="array" ref="E31">SUMPRODUCT(('ALL 498 CONSOLIDATED NEW'!$G$2:$G$503='school district panchayat devic'!$A31)*('ALL 498 CONSOLIDATED NEW'!$N$2:$N$503&lt;&gt;"LOW PROFILE SWITCH"))</f>
        <v>7</v>
      </c>
    </row>
    <row r="32" spans="1:10" hidden="1">
      <c r="A32" t="s">
        <v>545</v>
      </c>
      <c r="B32" t="s">
        <v>21</v>
      </c>
      <c r="C32" t="s">
        <v>1841</v>
      </c>
      <c r="D32" cm="1">
        <f t="array" ref="D32">SUMPRODUCT(('ALL 498 CONSOLIDATED NEW'!$G$2:$G$503='school district panchayat devic'!$A32)*('ALL 498 CONSOLIDATED NEW'!$K$2:$M$503&lt;&gt;"")*('ALL 498 CONSOLIDATED NEW'!$N$2:$N$503&lt;&gt;"LOW PROFILE SWITCH"))</f>
        <v>23</v>
      </c>
      <c r="E32" cm="1">
        <f t="array" ref="E32">SUMPRODUCT(('ALL 498 CONSOLIDATED NEW'!$G$2:$G$503='school district panchayat devic'!$A32)*('ALL 498 CONSOLIDATED NEW'!$N$2:$N$503&lt;&gt;"LOW PROFILE SWITCH"))</f>
        <v>9</v>
      </c>
    </row>
    <row r="33" spans="1:5" hidden="1">
      <c r="A33" t="s">
        <v>524</v>
      </c>
      <c r="B33" t="s">
        <v>21</v>
      </c>
      <c r="C33" t="s">
        <v>1842</v>
      </c>
      <c r="D33" cm="1">
        <f t="array" ref="D33">SUMPRODUCT(('ALL 498 CONSOLIDATED NEW'!$G$2:$G$503='school district panchayat devic'!$A33)*('ALL 498 CONSOLIDATED NEW'!$K$2:$M$503&lt;&gt;"")*('ALL 498 CONSOLIDATED NEW'!$N$2:$N$503&lt;&gt;"LOW PROFILE SWITCH"))</f>
        <v>13</v>
      </c>
      <c r="E33" cm="1">
        <f t="array" ref="E33">SUMPRODUCT(('ALL 498 CONSOLIDATED NEW'!$G$2:$G$503='school district panchayat devic'!$A33)*('ALL 498 CONSOLIDATED NEW'!$N$2:$N$503&lt;&gt;"LOW PROFILE SWITCH"))</f>
        <v>5</v>
      </c>
    </row>
    <row r="34" spans="1:5" hidden="1">
      <c r="A34" t="s">
        <v>59</v>
      </c>
      <c r="B34" t="s">
        <v>21</v>
      </c>
      <c r="C34" t="s">
        <v>1843</v>
      </c>
      <c r="D34" cm="1">
        <f t="array" ref="D34">SUMPRODUCT(('ALL 498 CONSOLIDATED NEW'!$G$2:$G$503='school district panchayat devic'!$A34)*('ALL 498 CONSOLIDATED NEW'!$K$2:$M$503&lt;&gt;"")*('ALL 498 CONSOLIDATED NEW'!$N$2:$N$503&lt;&gt;"LOW PROFILE SWITCH"))</f>
        <v>3</v>
      </c>
      <c r="E34" cm="1">
        <f t="array" ref="E34">SUMPRODUCT(('ALL 498 CONSOLIDATED NEW'!$G$2:$G$503='school district panchayat devic'!$A34)*('ALL 498 CONSOLIDATED NEW'!$N$2:$N$503&lt;&gt;"LOW PROFILE SWITCH"))</f>
        <v>1</v>
      </c>
    </row>
    <row r="35" spans="1:5" hidden="1">
      <c r="A35" t="s">
        <v>49</v>
      </c>
      <c r="B35" t="s">
        <v>21</v>
      </c>
      <c r="C35" t="s">
        <v>1844</v>
      </c>
      <c r="D35" cm="1">
        <f t="array" ref="D35">SUMPRODUCT(('ALL 498 CONSOLIDATED NEW'!$G$2:$G$503='school district panchayat devic'!$A35)*('ALL 498 CONSOLIDATED NEW'!$K$2:$M$503&lt;&gt;"")*('ALL 498 CONSOLIDATED NEW'!$N$2:$N$503&lt;&gt;"LOW PROFILE SWITCH"))</f>
        <v>6</v>
      </c>
      <c r="E35" cm="1">
        <f t="array" ref="E35">SUMPRODUCT(('ALL 498 CONSOLIDATED NEW'!$G$2:$G$503='school district panchayat devic'!$A35)*('ALL 498 CONSOLIDATED NEW'!$N$2:$N$503&lt;&gt;"LOW PROFILE SWITCH"))</f>
        <v>2</v>
      </c>
    </row>
    <row r="36" spans="1:5" hidden="1">
      <c r="A36" t="s">
        <v>407</v>
      </c>
      <c r="B36" t="s">
        <v>21</v>
      </c>
      <c r="C36" t="s">
        <v>1845</v>
      </c>
      <c r="D36" cm="1">
        <f t="array" ref="D36">SUMPRODUCT(('ALL 498 CONSOLIDATED NEW'!$G$2:$G$503='school district panchayat devic'!$A36)*('ALL 498 CONSOLIDATED NEW'!$K$2:$M$503&lt;&gt;"")*('ALL 498 CONSOLIDATED NEW'!$N$2:$N$503&lt;&gt;"LOW PROFILE SWITCH"))</f>
        <v>6</v>
      </c>
      <c r="E36" cm="1">
        <f t="array" ref="E36">SUMPRODUCT(('ALL 498 CONSOLIDATED NEW'!$G$2:$G$503='school district panchayat devic'!$A36)*('ALL 498 CONSOLIDATED NEW'!$N$2:$N$503&lt;&gt;"LOW PROFILE SWITCH"))</f>
        <v>2</v>
      </c>
    </row>
    <row r="37" spans="1:5" hidden="1">
      <c r="A37" t="s">
        <v>54</v>
      </c>
      <c r="B37" t="s">
        <v>21</v>
      </c>
      <c r="C37" t="s">
        <v>1846</v>
      </c>
      <c r="D37" cm="1">
        <f t="array" ref="D37">SUMPRODUCT(('ALL 498 CONSOLIDATED NEW'!$G$2:$G$503='school district panchayat devic'!$A37)*('ALL 498 CONSOLIDATED NEW'!$K$2:$M$503&lt;&gt;"")*('ALL 498 CONSOLIDATED NEW'!$N$2:$N$503&lt;&gt;"LOW PROFILE SWITCH"))</f>
        <v>3</v>
      </c>
      <c r="E37" cm="1">
        <f t="array" ref="E37">SUMPRODUCT(('ALL 498 CONSOLIDATED NEW'!$G$2:$G$503='school district panchayat devic'!$A37)*('ALL 498 CONSOLIDATED NEW'!$N$2:$N$503&lt;&gt;"LOW PROFILE SWITCH"))</f>
        <v>1</v>
      </c>
    </row>
    <row r="38" spans="1:5" hidden="1">
      <c r="A38" t="s">
        <v>437</v>
      </c>
      <c r="B38" t="s">
        <v>21</v>
      </c>
      <c r="C38" t="s">
        <v>1847</v>
      </c>
      <c r="D38" cm="1">
        <f t="array" ref="D38">SUMPRODUCT(('ALL 498 CONSOLIDATED NEW'!$G$2:$G$503='school district panchayat devic'!$A38)*('ALL 498 CONSOLIDATED NEW'!$K$2:$M$503&lt;&gt;"")*('ALL 498 CONSOLIDATED NEW'!$N$2:$N$503&lt;&gt;"LOW PROFILE SWITCH"))</f>
        <v>3</v>
      </c>
      <c r="E38" cm="1">
        <f t="array" ref="E38">SUMPRODUCT(('ALL 498 CONSOLIDATED NEW'!$G$2:$G$503='school district panchayat devic'!$A38)*('ALL 498 CONSOLIDATED NEW'!$N$2:$N$503&lt;&gt;"LOW PROFILE SWITCH"))</f>
        <v>1</v>
      </c>
    </row>
    <row r="39" spans="1:5" hidden="1">
      <c r="A39" t="s">
        <v>48</v>
      </c>
      <c r="B39" t="s">
        <v>21</v>
      </c>
      <c r="C39" t="s">
        <v>1848</v>
      </c>
      <c r="D39" cm="1">
        <f t="array" ref="D39">SUMPRODUCT(('ALL 498 CONSOLIDATED NEW'!$G$2:$G$503='school district panchayat devic'!$A39)*('ALL 498 CONSOLIDATED NEW'!$K$2:$M$503&lt;&gt;"")*('ALL 498 CONSOLIDATED NEW'!$N$2:$N$503&lt;&gt;"LOW PROFILE SWITCH"))</f>
        <v>3</v>
      </c>
      <c r="E39" cm="1">
        <f t="array" ref="E39">SUMPRODUCT(('ALL 498 CONSOLIDATED NEW'!$G$2:$G$503='school district panchayat devic'!$A39)*('ALL 498 CONSOLIDATED NEW'!$N$2:$N$503&lt;&gt;"LOW PROFILE SWITCH"))</f>
        <v>1</v>
      </c>
    </row>
    <row r="40" spans="1:5" hidden="1">
      <c r="A40" t="s">
        <v>44</v>
      </c>
      <c r="B40" t="s">
        <v>21</v>
      </c>
      <c r="C40" t="s">
        <v>1849</v>
      </c>
      <c r="D40" cm="1">
        <f t="array" ref="D40">SUMPRODUCT(('ALL 498 CONSOLIDATED NEW'!$G$2:$G$503='school district panchayat devic'!$A40)*('ALL 498 CONSOLIDATED NEW'!$K$2:$M$503&lt;&gt;"")*('ALL 498 CONSOLIDATED NEW'!$N$2:$N$503&lt;&gt;"LOW PROFILE SWITCH"))</f>
        <v>6</v>
      </c>
      <c r="E40" cm="1">
        <f t="array" ref="E40">SUMPRODUCT(('ALL 498 CONSOLIDATED NEW'!$G$2:$G$503='school district panchayat devic'!$A40)*('ALL 498 CONSOLIDATED NEW'!$N$2:$N$503&lt;&gt;"LOW PROFILE SWITCH"))</f>
        <v>2</v>
      </c>
    </row>
    <row r="41" spans="1:5" hidden="1">
      <c r="A41" t="s">
        <v>78</v>
      </c>
      <c r="B41" t="s">
        <v>1297</v>
      </c>
      <c r="C41" t="s">
        <v>1850</v>
      </c>
      <c r="D41" cm="1">
        <f t="array" ref="D41">SUMPRODUCT(('ALL 498 CONSOLIDATED NEW'!$G$2:$G$503='school district panchayat devic'!$A41)*('ALL 498 CONSOLIDATED NEW'!$K$2:$M$503&lt;&gt;"")*('ALL 498 CONSOLIDATED NEW'!$N$2:$N$503&lt;&gt;"LOW PROFILE SWITCH"))</f>
        <v>36</v>
      </c>
      <c r="E41" cm="1">
        <f t="array" ref="E41">SUMPRODUCT(('ALL 498 CONSOLIDATED NEW'!$G$2:$G$503='school district panchayat devic'!$A41)*('ALL 498 CONSOLIDATED NEW'!$N$2:$N$503&lt;&gt;"LOW PROFILE SWITCH"))</f>
        <v>12</v>
      </c>
    </row>
    <row r="42" spans="1:5" hidden="1">
      <c r="A42" t="s">
        <v>41</v>
      </c>
      <c r="B42" t="s">
        <v>1297</v>
      </c>
      <c r="C42" t="s">
        <v>1851</v>
      </c>
      <c r="D42" cm="1">
        <f t="array" ref="D42">SUMPRODUCT(('ALL 498 CONSOLIDATED NEW'!$G$2:$G$503='school district panchayat devic'!$A42)*('ALL 498 CONSOLIDATED NEW'!$K$2:$M$503&lt;&gt;"")*('ALL 498 CONSOLIDATED NEW'!$N$2:$N$503&lt;&gt;"LOW PROFILE SWITCH"))</f>
        <v>19</v>
      </c>
      <c r="E42" cm="1">
        <f t="array" ref="E42">SUMPRODUCT(('ALL 498 CONSOLIDATED NEW'!$G$2:$G$503='school district panchayat devic'!$A42)*('ALL 498 CONSOLIDATED NEW'!$N$2:$N$503&lt;&gt;"LOW PROFILE SWITCH"))</f>
        <v>9</v>
      </c>
    </row>
    <row r="43" spans="1:5" hidden="1">
      <c r="A43" t="s">
        <v>46</v>
      </c>
      <c r="B43" t="s">
        <v>29</v>
      </c>
      <c r="C43" t="s">
        <v>1852</v>
      </c>
      <c r="D43" cm="1">
        <f t="array" ref="D43">SUMPRODUCT(('ALL 498 CONSOLIDATED NEW'!$G$2:$G$503='school district panchayat devic'!$A43)*('ALL 498 CONSOLIDATED NEW'!$K$2:$M$503&lt;&gt;"")*('ALL 498 CONSOLIDATED NEW'!$N$2:$N$503&lt;&gt;"LOW PROFILE SWITCH"))</f>
        <v>24</v>
      </c>
      <c r="E43" cm="1">
        <f t="array" ref="E43">SUMPRODUCT(('ALL 498 CONSOLIDATED NEW'!$G$2:$G$503='school district panchayat devic'!$A43)*('ALL 498 CONSOLIDATED NEW'!$N$2:$N$503&lt;&gt;"LOW PROFILE SWITCH"))</f>
        <v>9</v>
      </c>
    </row>
    <row r="44" spans="1:5" hidden="1">
      <c r="A44" t="s">
        <v>40</v>
      </c>
      <c r="B44" t="s">
        <v>29</v>
      </c>
      <c r="C44" t="s">
        <v>1853</v>
      </c>
      <c r="D44" cm="1">
        <f t="array" ref="D44">SUMPRODUCT(('ALL 498 CONSOLIDATED NEW'!$G$2:$G$503='school district panchayat devic'!$A44)*('ALL 498 CONSOLIDATED NEW'!$K$2:$M$503&lt;&gt;"")*('ALL 498 CONSOLIDATED NEW'!$N$2:$N$503&lt;&gt;"LOW PROFILE SWITCH"))</f>
        <v>41</v>
      </c>
      <c r="E44" cm="1">
        <f t="array" ref="E44">SUMPRODUCT(('ALL 498 CONSOLIDATED NEW'!$G$2:$G$503='school district panchayat devic'!$A44)*('ALL 498 CONSOLIDATED NEW'!$N$2:$N$503&lt;&gt;"LOW PROFILE SWITCH"))</f>
        <v>15</v>
      </c>
    </row>
    <row r="45" spans="1:5" hidden="1">
      <c r="A45" t="s">
        <v>47</v>
      </c>
      <c r="B45" t="s">
        <v>1298</v>
      </c>
      <c r="C45" t="s">
        <v>1854</v>
      </c>
      <c r="D45" cm="1">
        <f t="array" ref="D45">SUMPRODUCT(('ALL 498 CONSOLIDATED NEW'!$G$2:$G$503='school district panchayat devic'!$A45)*('ALL 498 CONSOLIDATED NEW'!$K$2:$M$503&lt;&gt;"")*('ALL 498 CONSOLIDATED NEW'!$N$2:$N$503&lt;&gt;"LOW PROFILE SWITCH"))</f>
        <v>27</v>
      </c>
      <c r="E45" cm="1">
        <f t="array" ref="E45">SUMPRODUCT(('ALL 498 CONSOLIDATED NEW'!$G$2:$G$503='school district panchayat devic'!$A45)*('ALL 498 CONSOLIDATED NEW'!$N$2:$N$503&lt;&gt;"LOW PROFILE SWITCH"))</f>
        <v>9</v>
      </c>
    </row>
    <row r="46" spans="1:5" hidden="1">
      <c r="A46" t="s">
        <v>86</v>
      </c>
      <c r="B46" t="s">
        <v>1298</v>
      </c>
      <c r="C46" t="s">
        <v>1855</v>
      </c>
      <c r="D46" cm="1">
        <f t="array" ref="D46">SUMPRODUCT(('ALL 498 CONSOLIDATED NEW'!$G$2:$G$503='school district panchayat devic'!$A46)*('ALL 498 CONSOLIDATED NEW'!$K$2:$M$503&lt;&gt;"")*('ALL 498 CONSOLIDATED NEW'!$N$2:$N$503&lt;&gt;"LOW PROFILE SWITCH"))</f>
        <v>57</v>
      </c>
      <c r="E46" cm="1">
        <f t="array" ref="E46">SUMPRODUCT(('ALL 498 CONSOLIDATED NEW'!$G$2:$G$503='school district panchayat devic'!$A46)*('ALL 498 CONSOLIDATED NEW'!$N$2:$N$503&lt;&gt;"LOW PROFILE SWITCH"))</f>
        <v>19</v>
      </c>
    </row>
    <row r="47" spans="1:5" hidden="1">
      <c r="A47" t="s">
        <v>62</v>
      </c>
      <c r="B47" t="s">
        <v>1298</v>
      </c>
      <c r="C47" t="s">
        <v>1856</v>
      </c>
      <c r="D47" cm="1">
        <f t="array" ref="D47">SUMPRODUCT(('ALL 498 CONSOLIDATED NEW'!$G$2:$G$503='school district panchayat devic'!$A47)*('ALL 498 CONSOLIDATED NEW'!$K$2:$M$503&lt;&gt;"")*('ALL 498 CONSOLIDATED NEW'!$N$2:$N$503&lt;&gt;"LOW PROFILE SWITCH"))</f>
        <v>33</v>
      </c>
      <c r="E47" cm="1">
        <f t="array" ref="E47">SUMPRODUCT(('ALL 498 CONSOLIDATED NEW'!$G$2:$G$503='school district panchayat devic'!$A47)*('ALL 498 CONSOLIDATED NEW'!$N$2:$N$503&lt;&gt;"LOW PROFILE SWITCH"))</f>
        <v>13</v>
      </c>
    </row>
    <row r="48" spans="1:5" hidden="1">
      <c r="A48" t="s">
        <v>81</v>
      </c>
      <c r="B48" t="s">
        <v>1298</v>
      </c>
      <c r="C48" t="s">
        <v>1857</v>
      </c>
      <c r="D48" cm="1">
        <f t="array" ref="D48">SUMPRODUCT(('ALL 498 CONSOLIDATED NEW'!$G$2:$G$503='school district panchayat devic'!$A48)*('ALL 498 CONSOLIDATED NEW'!$K$2:$M$503&lt;&gt;"")*('ALL 498 CONSOLIDATED NEW'!$N$2:$N$503&lt;&gt;"LOW PROFILE SWITCH"))</f>
        <v>30</v>
      </c>
      <c r="E48" cm="1">
        <f t="array" ref="E48">SUMPRODUCT(('ALL 498 CONSOLIDATED NEW'!$G$2:$G$503='school district panchayat devic'!$A48)*('ALL 498 CONSOLIDATED NEW'!$N$2:$N$503&lt;&gt;"LOW PROFILE SWITCH"))</f>
        <v>11</v>
      </c>
    </row>
    <row r="49" spans="1:5" hidden="1">
      <c r="A49" t="s">
        <v>63</v>
      </c>
      <c r="B49" t="s">
        <v>27</v>
      </c>
      <c r="C49" t="s">
        <v>1858</v>
      </c>
      <c r="D49" cm="1">
        <f t="array" ref="D49">SUMPRODUCT(('ALL 498 CONSOLIDATED NEW'!$G$2:$G$503='school district panchayat devic'!$A49)*('ALL 498 CONSOLIDATED NEW'!$K$2:$M$503&lt;&gt;"")*('ALL 498 CONSOLIDATED NEW'!$N$2:$N$503&lt;&gt;"LOW PROFILE SWITCH"))</f>
        <v>24</v>
      </c>
      <c r="E49" cm="1">
        <f t="array" ref="E49">SUMPRODUCT(('ALL 498 CONSOLIDATED NEW'!$G$2:$G$503='school district panchayat devic'!$A49)*('ALL 498 CONSOLIDATED NEW'!$N$2:$N$503&lt;&gt;"LOW PROFILE SWITCH"))</f>
        <v>8</v>
      </c>
    </row>
    <row r="50" spans="1:5" hidden="1">
      <c r="A50" t="s">
        <v>45</v>
      </c>
      <c r="B50" t="s">
        <v>1299</v>
      </c>
      <c r="C50" t="s">
        <v>1859</v>
      </c>
      <c r="D50" cm="1">
        <f t="array" ref="D50">SUMPRODUCT(('ALL 498 CONSOLIDATED NEW'!$G$2:$G$503='school district panchayat devic'!$A50)*('ALL 498 CONSOLIDATED NEW'!$K$2:$M$503&lt;&gt;"")*('ALL 498 CONSOLIDATED NEW'!$N$2:$N$503&lt;&gt;"LOW PROFILE SWITCH"))</f>
        <v>30</v>
      </c>
      <c r="E50" cm="1">
        <f t="array" ref="E50">SUMPRODUCT(('ALL 498 CONSOLIDATED NEW'!$G$2:$G$503='school district panchayat devic'!$A50)*('ALL 498 CONSOLIDATED NEW'!$N$2:$N$503&lt;&gt;"LOW PROFILE SWITCH"))</f>
        <v>10</v>
      </c>
    </row>
    <row r="51" spans="1:5" hidden="1">
      <c r="A51" t="s">
        <v>74</v>
      </c>
      <c r="B51" t="s">
        <v>1300</v>
      </c>
      <c r="C51" t="s">
        <v>1860</v>
      </c>
      <c r="D51" cm="1">
        <f t="array" ref="D51">SUMPRODUCT(('ALL 498 CONSOLIDATED NEW'!$G$2:$G$503='school district panchayat devic'!$A51)*('ALL 498 CONSOLIDATED NEW'!$K$2:$M$503&lt;&gt;"")*('ALL 498 CONSOLIDATED NEW'!$N$2:$N$503&lt;&gt;"LOW PROFILE SWITCH"))</f>
        <v>33</v>
      </c>
      <c r="E51" cm="1">
        <f t="array" ref="E51">SUMPRODUCT(('ALL 498 CONSOLIDATED NEW'!$G$2:$G$503='school district panchayat devic'!$A51)*('ALL 498 CONSOLIDATED NEW'!$N$2:$N$503&lt;&gt;"LOW PROFILE SWITCH"))</f>
        <v>11</v>
      </c>
    </row>
    <row r="52" spans="1:5" hidden="1">
      <c r="A52" t="s">
        <v>70</v>
      </c>
      <c r="B52" t="s">
        <v>24</v>
      </c>
      <c r="C52" t="s">
        <v>1861</v>
      </c>
      <c r="D52" cm="1">
        <f t="array" ref="D52">SUMPRODUCT(('ALL 498 CONSOLIDATED NEW'!$G$2:$G$503='school district panchayat devic'!$A52)*('ALL 498 CONSOLIDATED NEW'!$K$2:$M$503&lt;&gt;"")*('ALL 498 CONSOLIDATED NEW'!$N$2:$N$503&lt;&gt;"LOW PROFILE SWITCH"))</f>
        <v>36</v>
      </c>
      <c r="E52" cm="1">
        <f t="array" ref="E52">SUMPRODUCT(('ALL 498 CONSOLIDATED NEW'!$G$2:$G$503='school district panchayat devic'!$A52)*('ALL 498 CONSOLIDATED NEW'!$N$2:$N$503&lt;&gt;"LOW PROFILE SWITCH"))</f>
        <v>12</v>
      </c>
    </row>
    <row r="53" spans="1:5" hidden="1">
      <c r="D53">
        <f>SUBTOTAL(109,D2:D52)</f>
        <v>303</v>
      </c>
      <c r="E53">
        <f>SUBTOTAL(109,E2:E52)</f>
        <v>117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2025-08-18T08:24:19Z</dcterms:created>
  <dcterms:modified xsi:type="dcterms:W3CDTF">2026-07-16T12:18:42Z</dcterms:modified>
  <cp:category/>
  <cp:contentStatus/>
</cp:coreProperties>
</file>